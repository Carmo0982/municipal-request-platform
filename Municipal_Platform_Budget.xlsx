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\Downloads\municipal-request-platform\"/>
    </mc:Choice>
  </mc:AlternateContent>
  <xr:revisionPtr revIDLastSave="0" documentId="8_{440248D0-B7A6-4E7E-8BDB-402772880E28}" xr6:coauthVersionLast="47" xr6:coauthVersionMax="47" xr10:uidLastSave="{00000000-0000-0000-0000-000000000000}"/>
  <bookViews>
    <workbookView xWindow="-120" yWindow="-120" windowWidth="20730" windowHeight="11760" tabRatio="500" firstSheet="1" activeTab="4" xr2:uid="{00000000-000D-0000-FFFF-FFFF00000000}"/>
  </bookViews>
  <sheets>
    <sheet name="Assumptions" sheetId="1" r:id="rId1"/>
    <sheet name="Backlog" sheetId="2" r:id="rId2"/>
    <sheet name="Sprint Plan" sheetId="3" r:id="rId3"/>
    <sheet name="Tech Costs" sheetId="4" r:id="rId4"/>
    <sheet name="Budget Summar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5" l="1"/>
  <c r="E30" i="1"/>
  <c r="C15" i="5"/>
  <c r="E18" i="4"/>
  <c r="G11" i="3"/>
  <c r="F11" i="3"/>
  <c r="F10" i="3"/>
  <c r="F9" i="3"/>
  <c r="F8" i="3"/>
  <c r="F7" i="3"/>
  <c r="F6" i="3"/>
  <c r="F5" i="3"/>
  <c r="E10" i="3"/>
  <c r="E9" i="3"/>
  <c r="E8" i="3"/>
  <c r="E7" i="3"/>
  <c r="E6" i="3"/>
  <c r="E5" i="3"/>
  <c r="E4" i="3"/>
  <c r="F46" i="2"/>
  <c r="C19" i="1" s="1"/>
  <c r="E5" i="5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F12" i="1"/>
  <c r="F11" i="1"/>
  <c r="F10" i="1"/>
  <c r="F9" i="1"/>
  <c r="F8" i="1"/>
  <c r="F7" i="1"/>
  <c r="F13" i="1" s="1"/>
  <c r="E11" i="3" l="1"/>
  <c r="F4" i="3"/>
  <c r="E13" i="5"/>
  <c r="G4" i="3"/>
  <c r="G9" i="3"/>
  <c r="D13" i="5"/>
  <c r="E10" i="5"/>
  <c r="C13" i="5"/>
  <c r="D10" i="5"/>
  <c r="G10" i="3"/>
  <c r="C10" i="5"/>
  <c r="E14" i="5"/>
  <c r="G8" i="3"/>
  <c r="D14" i="5"/>
  <c r="G7" i="3"/>
  <c r="C14" i="5"/>
  <c r="G6" i="3"/>
  <c r="G5" i="3"/>
  <c r="E28" i="1"/>
  <c r="E27" i="1"/>
  <c r="E24" i="1"/>
  <c r="E26" i="1"/>
  <c r="E25" i="1"/>
  <c r="E11" i="5"/>
  <c r="D11" i="5"/>
  <c r="C11" i="5"/>
  <c r="E15" i="5" l="1"/>
  <c r="F10" i="5"/>
  <c r="D15" i="5"/>
  <c r="F14" i="5"/>
  <c r="F12" i="5"/>
  <c r="F11" i="5"/>
  <c r="F13" i="5"/>
</calcChain>
</file>

<file path=xl/sharedStrings.xml><?xml version="1.0" encoding="utf-8"?>
<sst xmlns="http://schemas.openxmlformats.org/spreadsheetml/2006/main" count="393" uniqueCount="246">
  <si>
    <t>Municipal Citizen Request Platform — Development Budget</t>
  </si>
  <si>
    <t>Lean Estimation — Scrum Methodology | Story Points &amp; Velocity-Based Budget</t>
  </si>
  <si>
    <t>A. TEAM &amp; RATE ASSUMPTIONS  (blue cells = inputs you can change)</t>
  </si>
  <si>
    <t>Role</t>
  </si>
  <si>
    <t># People</t>
  </si>
  <si>
    <t>Weekly Rate (USD)</t>
  </si>
  <si>
    <t>Sprint Weeks</t>
  </si>
  <si>
    <t>Sprint Cost (USD)</t>
  </si>
  <si>
    <t>Notes</t>
  </si>
  <si>
    <t>Project Manager</t>
  </si>
  <si>
    <t>Scrum Master / PM hybrid</t>
  </si>
  <si>
    <t>Frontend Developer</t>
  </si>
  <si>
    <t>React – Citizen Portal &amp; Admin</t>
  </si>
  <si>
    <t>Backend Developer</t>
  </si>
  <si>
    <t>Node/Python microservices</t>
  </si>
  <si>
    <t>DevOps / Cloud Engineer</t>
  </si>
  <si>
    <t>AWS/Azure, CI/CD</t>
  </si>
  <si>
    <t>QA Engineer</t>
  </si>
  <si>
    <t>Manual + automated testing</t>
  </si>
  <si>
    <t>UI/UX Designer</t>
  </si>
  <si>
    <t>Part-time, first 4 sprints only</t>
  </si>
  <si>
    <t>TOTAL SPRINT COST (per sprint)</t>
  </si>
  <si>
    <t>B. VELOCITY &amp; SPRINT ASSUMPTIONS</t>
  </si>
  <si>
    <t>Sprint duration (weeks)</t>
  </si>
  <si>
    <t>Fixed 2-week sprints</t>
  </si>
  <si>
    <t>Team velocity (story pts/sprint)</t>
  </si>
  <si>
    <t>After ramp-up; first sprint 30 SP</t>
  </si>
  <si>
    <t>Total story points (backlog)</t>
  </si>
  <si>
    <t>See Backlog sheet for detail</t>
  </si>
  <si>
    <t>Buffer / contingency (%)</t>
  </si>
  <si>
    <t>15% for unknowns &amp; rework</t>
  </si>
  <si>
    <t>C. DERIVED BUDGET OUTPUTS</t>
  </si>
  <si>
    <t>Number of sprints (base)</t>
  </si>
  <si>
    <t>Number of sprints (w/ buffer)</t>
  </si>
  <si>
    <t>Project duration (weeks)</t>
  </si>
  <si>
    <t>BASE LABOR COST</t>
  </si>
  <si>
    <t>TOTAL BUDGET (w/ buffer)</t>
  </si>
  <si>
    <t>Technology &amp; Licenses / yr</t>
  </si>
  <si>
    <t>GRAND TOTAL (Labor + Tech)</t>
  </si>
  <si>
    <t>Agile Product Backlog — Municipal Citizen Request Platform</t>
  </si>
  <si>
    <t>#</t>
  </si>
  <si>
    <t>Epic</t>
  </si>
  <si>
    <t>User Story</t>
  </si>
  <si>
    <t>As a…</t>
  </si>
  <si>
    <t>Priority</t>
  </si>
  <si>
    <t>SP</t>
  </si>
  <si>
    <t>Sprint</t>
  </si>
  <si>
    <t>Acceptance Criteria (summary)</t>
  </si>
  <si>
    <t>Status</t>
  </si>
  <si>
    <t>EP1 Authentication &amp; SSO</t>
  </si>
  <si>
    <t>US-01 Citizen registration</t>
  </si>
  <si>
    <t>Citizen</t>
  </si>
  <si>
    <t>Must Have</t>
  </si>
  <si>
    <t>Email verified; duplicate check; password policy enforced</t>
  </si>
  <si>
    <t>US-02 Citizen login (email/pwd)</t>
  </si>
  <si>
    <t>JWT issued; locked after 5 failed attempts</t>
  </si>
  <si>
    <t>US-03 Password recovery</t>
  </si>
  <si>
    <t>Reset link expires in 1hr; new password saved securely</t>
  </si>
  <si>
    <t>US-04 Staff SSO via Gov. Identity Provider</t>
  </si>
  <si>
    <t>Admin/Staff</t>
  </si>
  <si>
    <t>SSO redirects to Gov IdP; session token valid 8hrs</t>
  </si>
  <si>
    <t>US-05 Role-based access control</t>
  </si>
  <si>
    <t>Citizen / Staff / Supervisor roles enforced at API level</t>
  </si>
  <si>
    <t>EP2 Citizen Request Portal</t>
  </si>
  <si>
    <t>US-06 Submit new service request</t>
  </si>
  <si>
    <t>Request saved with unique ID; confirmation shown</t>
  </si>
  <si>
    <t>US-07 Attach photos / documents</t>
  </si>
  <si>
    <t>Files &lt;10MB accepted; stored in S3; preview shown</t>
  </si>
  <si>
    <t>US-08 Geolocate request on map</t>
  </si>
  <si>
    <t>Map renders; lat/lng stored; address auto-populated</t>
  </si>
  <si>
    <t>US-09 View request status &amp; history</t>
  </si>
  <si>
    <t>Timeline shows all status changes with timestamps</t>
  </si>
  <si>
    <t>US-10 Receive email notification on update</t>
  </si>
  <si>
    <t>Email sent within 2 min of status change</t>
  </si>
  <si>
    <t>US-11 Receive SMS notification</t>
  </si>
  <si>
    <t>Should Have</t>
  </si>
  <si>
    <t>SMS sent via Twilio within 2 min</t>
  </si>
  <si>
    <t>US-12 Search &amp; filter my requests</t>
  </si>
  <si>
    <t>Filter by status, date range, category; results &lt;1s</t>
  </si>
  <si>
    <t>EP3 Admin Dashboard</t>
  </si>
  <si>
    <t>US-13 View all incoming requests</t>
  </si>
  <si>
    <t>Paginated list; sortable columns; real-time refresh</t>
  </si>
  <si>
    <t>US-14 Assign request to department</t>
  </si>
  <si>
    <t>Dropdown of departments; assignment logged with timestamp</t>
  </si>
  <si>
    <t>US-15 Update request status</t>
  </si>
  <si>
    <t>Status options: Open / In-Progress / Resolved / Closed</t>
  </si>
  <si>
    <t>US-16 Add internal comments to request</t>
  </si>
  <si>
    <t>Comment visible only to staff; audit trail kept</t>
  </si>
  <si>
    <t>US-17 Filter &amp; search requests by type/dept/status</t>
  </si>
  <si>
    <t>Multi-filter; URL-shareable state; &lt;500ms response</t>
  </si>
  <si>
    <t>US-18 View resolution time KPIs</t>
  </si>
  <si>
    <t>Charts: avg resolution time, open vs closed, by dept</t>
  </si>
  <si>
    <t>US-19 Export requests to CSV/Excel</t>
  </si>
  <si>
    <t>Could Have</t>
  </si>
  <si>
    <t>CSV export reflects current filters; &lt;5s for 10k rows</t>
  </si>
  <si>
    <t>EP4 Reporting &amp; Analytics</t>
  </si>
  <si>
    <t>US-20 Generate performance report</t>
  </si>
  <si>
    <t>PDF report generated; date-range selectable</t>
  </si>
  <si>
    <t>US-21 Dashboard charts (requests by type/dept)</t>
  </si>
  <si>
    <t>Bar/pie charts; monthly trend line; filters applied</t>
  </si>
  <si>
    <t>US-22 Avg. resolution time per department</t>
  </si>
  <si>
    <t>Table grouped by dept; sortable; benchmark column</t>
  </si>
  <si>
    <t>US-23 Export report as PDF</t>
  </si>
  <si>
    <t>PDF matches screen; auto-paginated; branded header</t>
  </si>
  <si>
    <t>EP5 Notification Service</t>
  </si>
  <si>
    <t>US-24 Email notification on request creation</t>
  </si>
  <si>
    <t>Triggered on creation; template personalised with ID</t>
  </si>
  <si>
    <t>US-25 Email digest for staff (daily summary)</t>
  </si>
  <si>
    <t>Daily 8AM digest; summarises new + overdue requests</t>
  </si>
  <si>
    <t>US-26 SMS alert for critical request types</t>
  </si>
  <si>
    <t>High-severity categories trigger SMS within 5 min</t>
  </si>
  <si>
    <t>EP6 File Upload Service</t>
  </si>
  <si>
    <t>US-27 Upload images up to 10 MB</t>
  </si>
  <si>
    <t>Progress bar; error shown if &gt;10MB; S3 key returned</t>
  </si>
  <si>
    <t>US-28 Validate file type (jpg, png, pdf)</t>
  </si>
  <si>
    <t>Reject unsupported MIME types with clear error message</t>
  </si>
  <si>
    <t>US-29 Store files in S3 Object Storage</t>
  </si>
  <si>
    <t>System</t>
  </si>
  <si>
    <t>Files stored under /requests/{id}/; pre-signed URLs</t>
  </si>
  <si>
    <t>US-30 Admin can download attachments</t>
  </si>
  <si>
    <t>Download link available in request detail; audit logged</t>
  </si>
  <si>
    <t>EP7 Infra &amp; DevOps</t>
  </si>
  <si>
    <t>US-31 Setup CI/CD pipeline (GitHub Actions)</t>
  </si>
  <si>
    <t>DevOps</t>
  </si>
  <si>
    <t>Pipeline: lint → test → build → deploy on merge to main</t>
  </si>
  <si>
    <t>US-32 Configure cloud hosting (AWS/Azure)</t>
  </si>
  <si>
    <t>VPC, subnets, security groups configured; SSL cert applied</t>
  </si>
  <si>
    <t>US-33 Setup PostgreSQL &amp; Redis</t>
  </si>
  <si>
    <t>DB schema migrated; Redis cluster reachable from services</t>
  </si>
  <si>
    <t>US-34 Configure S3 + IAM roles</t>
  </si>
  <si>
    <t>Bucket policy: private; roles scoped to least privilege</t>
  </si>
  <si>
    <t>US-35 Monitoring &amp; alerting (logs/metrics)</t>
  </si>
  <si>
    <t>Alerts for &gt;1% 5xx errors and &gt;500ms p95 latency</t>
  </si>
  <si>
    <t>US-36 Load balancer &amp; auto-scaling</t>
  </si>
  <si>
    <t>Auto-scale triggers at 70% CPU; tested under load</t>
  </si>
  <si>
    <t>EP8 QA &amp; Testing</t>
  </si>
  <si>
    <t>US-37 Unit tests (&gt;80% coverage) – Auth Service</t>
  </si>
  <si>
    <t>QA</t>
  </si>
  <si>
    <t>Jest/Pytest; CI fails if coverage drops below 80%</t>
  </si>
  <si>
    <t>US-38 Integration tests – API Gateway</t>
  </si>
  <si>
    <t>Postman/Newman collection; all endpoints tested</t>
  </si>
  <si>
    <t>US-39 E2E tests – citizen submission flow</t>
  </si>
  <si>
    <t>Playwright script; passes on Chrome, Firefox, Safari</t>
  </si>
  <si>
    <t>US-40 Load testing (500 concurrent users)</t>
  </si>
  <si>
    <t>k6 test; p95 latency &lt;800ms at 500 users</t>
  </si>
  <si>
    <t>US-41 Accessibility audit (WCAG 2.1)</t>
  </si>
  <si>
    <t>axe-core scan; 0 critical/serious violations</t>
  </si>
  <si>
    <t>US-42 Security pen-test &amp; vulnerability scan</t>
  </si>
  <si>
    <t>OWASP ZAP scan; no high/critical findings in report</t>
  </si>
  <si>
    <t>TOTAL STORY POINTS</t>
  </si>
  <si>
    <t>Sprint Plan &amp; Timeline — Municipal Request Platform</t>
  </si>
  <si>
    <t>Weeks</t>
  </si>
  <si>
    <t>Focus / Theme</t>
  </si>
  <si>
    <t>Key Stories</t>
  </si>
  <si>
    <t>SP Target</t>
  </si>
  <si>
    <t>Cum. SP</t>
  </si>
  <si>
    <t>Labor Cost (USD)</t>
  </si>
  <si>
    <t>Sprint 1</t>
  </si>
  <si>
    <t>Wk 1-2</t>
  </si>
  <si>
    <t>Foundation &amp; Infra</t>
  </si>
  <si>
    <t>US-31,32,33 CI/CD, Cloud, DB setup; US-01,02,03 Auth basics</t>
  </si>
  <si>
    <t>Sprint 2</t>
  </si>
  <si>
    <t>Wk 3-4</t>
  </si>
  <si>
    <t>Auth &amp; Core Backend</t>
  </si>
  <si>
    <t>US-04,05 SSO/RBAC; US-06 Request submission; US-13 Admin list; US-34,37</t>
  </si>
  <si>
    <t>Sprint 3</t>
  </si>
  <si>
    <t>Wk 5-6</t>
  </si>
  <si>
    <t>Citizen Portal MVP</t>
  </si>
  <si>
    <t>US-07,08,09 Upload/Map/Status; US-14,15,16 Admin ops; US-27,28,29,38</t>
  </si>
  <si>
    <t>Sprint 4</t>
  </si>
  <si>
    <t>Wk 7-8</t>
  </si>
  <si>
    <t>Notifications &amp; Refinement</t>
  </si>
  <si>
    <t>US-10,11,12 Notifications; US-17,24,30 Filters &amp; downloads; US-39 E2E tests</t>
  </si>
  <si>
    <t>Sprint 5</t>
  </si>
  <si>
    <t>Wk 9-10</t>
  </si>
  <si>
    <t>Analytics &amp; Reporting</t>
  </si>
  <si>
    <t>US-18,20,21,22 KPIs &amp; charts; US-25 Staff digest</t>
  </si>
  <si>
    <t>Sprint 6</t>
  </si>
  <si>
    <t>Wk 11-12</t>
  </si>
  <si>
    <t>Operations &amp; Hardening</t>
  </si>
  <si>
    <t>US-19,23,26 Exports; US-35,36 Monitoring/scaling; US-40 Load test</t>
  </si>
  <si>
    <t>Sprint 7</t>
  </si>
  <si>
    <t>Wk 13-14</t>
  </si>
  <si>
    <t>UAT &amp; Go-Live Prep</t>
  </si>
  <si>
    <t>US-41,42 Accessibility &amp; security; regression testing; prod deployment</t>
  </si>
  <si>
    <t>TOTAL</t>
  </si>
  <si>
    <t>Technology &amp; Licensing Costs — Annual Estimate</t>
  </si>
  <si>
    <t>Category</t>
  </si>
  <si>
    <t>Service / Tool</t>
  </si>
  <si>
    <t>Plan / Tier</t>
  </si>
  <si>
    <t>Monthly Cost (USD)</t>
  </si>
  <si>
    <t>Annual Cost (USD)</t>
  </si>
  <si>
    <t>Cloud Hosting</t>
  </si>
  <si>
    <t>AWS EC2 / Azure VM (t3.medium × 4)</t>
  </si>
  <si>
    <t>On-demand</t>
  </si>
  <si>
    <t>Estimate; varies with usage</t>
  </si>
  <si>
    <t>AWS RDS PostgreSQL (db.t3.medium)</t>
  </si>
  <si>
    <t>Multi-AZ</t>
  </si>
  <si>
    <t>AWS ElastiCache Redis (cache.t3.sm)</t>
  </si>
  <si>
    <t>Single node</t>
  </si>
  <si>
    <t>AWS S3 Object Storage (500 GB/mo)</t>
  </si>
  <si>
    <t>Standard</t>
  </si>
  <si>
    <t>AWS ALB Load Balancer</t>
  </si>
  <si>
    <t>3rd Party APIs</t>
  </si>
  <si>
    <t>SendGrid Email API</t>
  </si>
  <si>
    <t>Essentials</t>
  </si>
  <si>
    <t>Twilio SMS</t>
  </si>
  <si>
    <t>Pay-as-you-go</t>
  </si>
  <si>
    <t>Google Maps API</t>
  </si>
  <si>
    <t>Government SSO (IdP)</t>
  </si>
  <si>
    <t>Public/free</t>
  </si>
  <si>
    <t>DevOps &amp; Tools</t>
  </si>
  <si>
    <t>GitHub (Actions + repos)</t>
  </si>
  <si>
    <t>Team plan</t>
  </si>
  <si>
    <t>Monitoring (Datadog / CloudWatch)</t>
  </si>
  <si>
    <t>Pro</t>
  </si>
  <si>
    <t>Domain &amp; SSL certificate</t>
  </si>
  <si>
    <t>Annual</t>
  </si>
  <si>
    <t>Security</t>
  </si>
  <si>
    <t>AWS WAF</t>
  </si>
  <si>
    <t>AWS Secrets Manager</t>
  </si>
  <si>
    <t>ANNUAL TECHNOLOGY TOTAL</t>
  </si>
  <si>
    <t>Development Budget Summary — Municipal Request Platform</t>
  </si>
  <si>
    <t>Total Story Points</t>
  </si>
  <si>
    <t>Sprints Required</t>
  </si>
  <si>
    <t>Project Duration</t>
  </si>
  <si>
    <t>Team Size</t>
  </si>
  <si>
    <t>BUDGET BREAKDOWN</t>
  </si>
  <si>
    <t>Detail</t>
  </si>
  <si>
    <t>Low Estimate (USD)</t>
  </si>
  <si>
    <t>Base Estimate (USD)</t>
  </si>
  <si>
    <t>High Estimate (USD)</t>
  </si>
  <si>
    <t>% of Total</t>
  </si>
  <si>
    <t>Labor — Development</t>
  </si>
  <si>
    <t>7 sprints × full team</t>
  </si>
  <si>
    <t>Technology &amp; Cloud</t>
  </si>
  <si>
    <t>Annual infra + 3rd-party APIs</t>
  </si>
  <si>
    <t>QA &amp; Security Audit</t>
  </si>
  <si>
    <t>External pentest + tools</t>
  </si>
  <si>
    <t>Contingency (15%)</t>
  </si>
  <si>
    <t>Buffer for scope changes &amp; rework</t>
  </si>
  <si>
    <t>Project Management</t>
  </si>
  <si>
    <t>PM overhead &amp; stakeholder meetings</t>
  </si>
  <si>
    <t>GRAND TOTAL</t>
  </si>
  <si>
    <t>KEY ASSUMPTIONS
• Rates are in USD; team based in Latin America (competitive market rates).
• 2-week sprints; velocity of 40 SP/sprint after initial ramp-up (Sprint 1 = 30 SP).
• Technology costs are estimated annual figures; actual cloud usage may vary.
• 15% contingency applied to labor for scope changes and rework.
• Government SSO integration assumes a standard SAML 2.0 / OpenID Connect endpoint is provided at no cost.
• Fixed-scope model: backlog is prioritized; if budget is constrained, 'Could Have' stories are deferred.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</si>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</sst>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0.0%"/>
    <numFmt numFmtId="166" formatCode="#,##0&quot; wks&quot;"/>
  </numFmts>
  <fonts count="1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AAAAAA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i/>
      <sz val="9"/>
      <color rgb="FF000000"/>
      <name val="Arial"/>
      <charset val="1"/>
    </font>
    <font>
      <sz val="9"/>
      <color rgb="FF00800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777777"/>
      <name val="Arial"/>
      <charset val="1"/>
    </font>
    <font>
      <b/>
      <sz val="16"/>
      <color rgb="FF2E75B6"/>
      <name val="Arial"/>
      <charset val="1"/>
    </font>
    <font>
      <i/>
      <sz val="9"/>
      <color rgb="FF555555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9E1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E5CC"/>
      </patternFill>
    </fill>
    <fill>
      <patternFill patternType="solid">
        <fgColor rgb="FFFCE4D6"/>
        <bgColor rgb="FFFFE5CC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EDD"/>
      </patternFill>
    </fill>
    <fill>
      <patternFill patternType="solid">
        <fgColor rgb="FFD9E1F2"/>
        <bgColor rgb="FFD6E4F0"/>
      </patternFill>
    </fill>
    <fill>
      <patternFill patternType="solid">
        <fgColor rgb="FFC6EFCE"/>
        <bgColor rgb="FFDDEEDD"/>
      </patternFill>
    </fill>
    <fill>
      <patternFill patternType="solid">
        <fgColor rgb="FFFFEB9C"/>
        <bgColor rgb="FFFFE5CC"/>
      </patternFill>
    </fill>
    <fill>
      <patternFill patternType="solid">
        <fgColor rgb="FFFFC7CE"/>
        <bgColor rgb="FFF4CCFF"/>
      </patternFill>
    </fill>
    <fill>
      <patternFill patternType="solid">
        <fgColor rgb="FFDDEBF7"/>
        <bgColor rgb="FFD6E4F0"/>
      </patternFill>
    </fill>
    <fill>
      <patternFill patternType="solid">
        <fgColor rgb="FFF4CCFF"/>
        <bgColor rgb="FFFFC7CE"/>
      </patternFill>
    </fill>
    <fill>
      <patternFill patternType="solid">
        <fgColor rgb="FFFFE5CC"/>
        <bgColor rgb="FFFCE4D6"/>
      </patternFill>
    </fill>
    <fill>
      <patternFill patternType="solid">
        <fgColor rgb="FFDDEEDD"/>
        <bgColor rgb="FFE2EFD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3" fillId="2" borderId="0" xfId="0" applyFont="1" applyFill="1" applyAlignment="1">
      <alignment horizontal="center" vertical="center"/>
    </xf>
    <xf numFmtId="164" fontId="12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164" fontId="11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3" fontId="10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indent="1"/>
    </xf>
    <xf numFmtId="0" fontId="8" fillId="7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left" vertical="center" wrapText="1"/>
    </xf>
    <xf numFmtId="164" fontId="7" fillId="4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left" vertical="center" wrapText="1"/>
    </xf>
    <xf numFmtId="164" fontId="7" fillId="5" borderId="1" xfId="0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/>
    <xf numFmtId="0" fontId="0" fillId="3" borderId="1" xfId="0" applyFill="1" applyBorder="1"/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9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165" fontId="6" fillId="7" borderId="1" xfId="0" applyNumberFormat="1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3" fontId="5" fillId="10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center" vertical="center" wrapText="1"/>
    </xf>
    <xf numFmtId="3" fontId="5" fillId="14" borderId="1" xfId="0" applyNumberFormat="1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center" vertical="center" wrapText="1"/>
    </xf>
    <xf numFmtId="3" fontId="5" fillId="15" borderId="1" xfId="0" applyNumberFormat="1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center" vertical="center" wrapText="1"/>
    </xf>
    <xf numFmtId="3" fontId="5" fillId="16" borderId="1" xfId="0" applyNumberFormat="1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center" vertical="center" wrapText="1"/>
    </xf>
    <xf numFmtId="3" fontId="5" fillId="17" borderId="1" xfId="0" applyNumberFormat="1" applyFont="1" applyFill="1" applyBorder="1" applyAlignment="1">
      <alignment horizontal="center" vertical="center" wrapText="1"/>
    </xf>
    <xf numFmtId="3" fontId="14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164" fontId="9" fillId="4" borderId="1" xfId="0" applyNumberFormat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164" fontId="9" fillId="5" borderId="1" xfId="0" applyNumberFormat="1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15" fillId="2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3" fontId="17" fillId="5" borderId="1" xfId="0" applyNumberFormat="1" applyFont="1" applyFill="1" applyBorder="1" applyAlignment="1">
      <alignment horizontal="center" vertical="center"/>
    </xf>
    <xf numFmtId="166" fontId="17" fillId="5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left" vertical="center"/>
    </xf>
    <xf numFmtId="165" fontId="15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 indent="1"/>
    </xf>
    <xf numFmtId="0" fontId="3" fillId="3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15" fillId="3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right" vertical="center"/>
    </xf>
    <xf numFmtId="0" fontId="18" fillId="8" borderId="3" xfId="0" applyFont="1" applyFill="1" applyBorder="1" applyAlignment="1">
      <alignment horizontal="left" vertical="top" wrapText="1"/>
    </xf>
    <xf numFmtId="3" fontId="5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DEEDD"/>
      <rgbColor rgb="FFC6EFCE"/>
      <rgbColor rgb="FFFFEB9C"/>
      <rgbColor rgb="FFD6E4F0"/>
      <rgbColor rgb="FFF4CCFF"/>
      <rgbColor rgb="FFFCE4D6"/>
      <rgbColor rgb="FFFFC7CE"/>
      <rgbColor rgb="FF2E75B6"/>
      <rgbColor rgb="FF33CCCC"/>
      <rgbColor rgb="FF99CC00"/>
      <rgbColor rgb="FFFFE5CC"/>
      <rgbColor rgb="FFFF9900"/>
      <rgbColor rgb="FFFF6600"/>
      <rgbColor rgb="FF555555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topLeftCell="A14" zoomScaleNormal="100" workbookViewId="0">
      <selection activeCell="E30" sqref="E30:H30"/>
    </sheetView>
  </sheetViews>
  <sheetFormatPr baseColWidth="10" defaultColWidth="8.7109375" defaultRowHeight="15" x14ac:dyDescent="0.25"/>
  <cols>
    <col min="1" max="1" width="3" customWidth="1"/>
    <col min="2" max="2" width="32" customWidth="1"/>
    <col min="3" max="3" width="10" customWidth="1"/>
    <col min="4" max="4" width="20" customWidth="1"/>
    <col min="5" max="6" width="16" customWidth="1"/>
    <col min="7" max="7" width="30" customWidth="1"/>
    <col min="8" max="8" width="4" customWidth="1"/>
  </cols>
  <sheetData>
    <row r="1" spans="1:8" ht="30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ht="6" customHeight="1" x14ac:dyDescent="0.25">
      <c r="A2" s="14"/>
      <c r="B2" s="14"/>
      <c r="C2" s="14"/>
      <c r="D2" s="14"/>
      <c r="E2" s="14"/>
      <c r="F2" s="14"/>
      <c r="G2" s="14"/>
      <c r="H2" s="14"/>
    </row>
    <row r="3" spans="1:8" ht="18" customHeight="1" x14ac:dyDescent="0.25">
      <c r="A3" s="13" t="s">
        <v>1</v>
      </c>
      <c r="B3" s="13"/>
      <c r="C3" s="13"/>
      <c r="D3" s="13"/>
      <c r="E3" s="13"/>
      <c r="F3" s="13"/>
      <c r="G3" s="13"/>
      <c r="H3" s="13"/>
    </row>
    <row r="5" spans="1:8" ht="18" customHeight="1" x14ac:dyDescent="0.25">
      <c r="A5" s="12" t="s">
        <v>2</v>
      </c>
      <c r="B5" s="12"/>
      <c r="C5" s="12"/>
      <c r="D5" s="12"/>
      <c r="E5" s="12"/>
      <c r="F5" s="12"/>
      <c r="G5" s="12"/>
      <c r="H5" s="12"/>
    </row>
    <row r="6" spans="1:8" ht="27.75" customHeight="1" x14ac:dyDescent="0.25"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  <c r="G6" s="15" t="s">
        <v>8</v>
      </c>
    </row>
    <row r="7" spans="1:8" ht="15" customHeight="1" x14ac:dyDescent="0.25">
      <c r="B7" s="16" t="s">
        <v>9</v>
      </c>
      <c r="C7" s="17">
        <v>1</v>
      </c>
      <c r="D7" s="18">
        <v>1800</v>
      </c>
      <c r="E7" s="17">
        <v>2</v>
      </c>
      <c r="F7" s="19">
        <f t="shared" ref="F7:F12" si="0">C7*D7*E7</f>
        <v>3600</v>
      </c>
      <c r="G7" s="20" t="s">
        <v>10</v>
      </c>
    </row>
    <row r="8" spans="1:8" ht="15" customHeight="1" x14ac:dyDescent="0.25">
      <c r="B8" s="21" t="s">
        <v>11</v>
      </c>
      <c r="C8" s="22">
        <v>2</v>
      </c>
      <c r="D8" s="23">
        <v>1600</v>
      </c>
      <c r="E8" s="22">
        <v>2</v>
      </c>
      <c r="F8" s="24">
        <f t="shared" si="0"/>
        <v>6400</v>
      </c>
      <c r="G8" s="25" t="s">
        <v>12</v>
      </c>
    </row>
    <row r="9" spans="1:8" ht="15" customHeight="1" x14ac:dyDescent="0.25">
      <c r="B9" s="16" t="s">
        <v>13</v>
      </c>
      <c r="C9" s="17">
        <v>3</v>
      </c>
      <c r="D9" s="18">
        <v>1700</v>
      </c>
      <c r="E9" s="17">
        <v>2</v>
      </c>
      <c r="F9" s="19">
        <f t="shared" si="0"/>
        <v>10200</v>
      </c>
      <c r="G9" s="20" t="s">
        <v>14</v>
      </c>
    </row>
    <row r="10" spans="1:8" ht="15" customHeight="1" x14ac:dyDescent="0.25">
      <c r="B10" s="21" t="s">
        <v>15</v>
      </c>
      <c r="C10" s="22">
        <v>1</v>
      </c>
      <c r="D10" s="23">
        <v>1900</v>
      </c>
      <c r="E10" s="22">
        <v>2</v>
      </c>
      <c r="F10" s="24">
        <f t="shared" si="0"/>
        <v>3800</v>
      </c>
      <c r="G10" s="25" t="s">
        <v>16</v>
      </c>
    </row>
    <row r="11" spans="1:8" ht="15" customHeight="1" x14ac:dyDescent="0.25">
      <c r="B11" s="16" t="s">
        <v>17</v>
      </c>
      <c r="C11" s="17">
        <v>1</v>
      </c>
      <c r="D11" s="18">
        <v>1400</v>
      </c>
      <c r="E11" s="17">
        <v>2</v>
      </c>
      <c r="F11" s="19">
        <f t="shared" si="0"/>
        <v>2800</v>
      </c>
      <c r="G11" s="20" t="s">
        <v>18</v>
      </c>
    </row>
    <row r="12" spans="1:8" ht="15" customHeight="1" x14ac:dyDescent="0.25">
      <c r="B12" s="21" t="s">
        <v>19</v>
      </c>
      <c r="C12" s="22">
        <v>1</v>
      </c>
      <c r="D12" s="23">
        <v>1500</v>
      </c>
      <c r="E12" s="22">
        <v>2</v>
      </c>
      <c r="F12" s="24">
        <f t="shared" si="0"/>
        <v>3000</v>
      </c>
      <c r="G12" s="25" t="s">
        <v>20</v>
      </c>
    </row>
    <row r="13" spans="1:8" ht="15" customHeight="1" x14ac:dyDescent="0.25">
      <c r="B13" s="11" t="s">
        <v>21</v>
      </c>
      <c r="C13" s="11"/>
      <c r="D13" s="11"/>
      <c r="E13" s="11"/>
      <c r="F13" s="26">
        <f>SUM(F7:F12)</f>
        <v>29800</v>
      </c>
      <c r="G13" s="27"/>
    </row>
    <row r="15" spans="1:8" ht="18" customHeight="1" x14ac:dyDescent="0.25">
      <c r="A15" s="12" t="s">
        <v>22</v>
      </c>
      <c r="B15" s="12"/>
      <c r="C15" s="12"/>
      <c r="D15" s="12"/>
      <c r="E15" s="12"/>
      <c r="F15" s="12"/>
      <c r="G15" s="12"/>
      <c r="H15" s="12"/>
    </row>
    <row r="17" spans="1:8" ht="15" customHeight="1" x14ac:dyDescent="0.25">
      <c r="B17" s="28" t="s">
        <v>23</v>
      </c>
      <c r="C17" s="29">
        <v>2</v>
      </c>
      <c r="D17" s="10" t="s">
        <v>24</v>
      </c>
      <c r="E17" s="10"/>
      <c r="F17" s="10"/>
      <c r="G17" s="10"/>
    </row>
    <row r="18" spans="1:8" ht="15" customHeight="1" x14ac:dyDescent="0.25">
      <c r="B18" s="28" t="s">
        <v>25</v>
      </c>
      <c r="C18" s="29">
        <v>40</v>
      </c>
      <c r="D18" s="10" t="s">
        <v>26</v>
      </c>
      <c r="E18" s="10"/>
      <c r="F18" s="10"/>
      <c r="G18" s="10"/>
    </row>
    <row r="19" spans="1:8" ht="15" customHeight="1" x14ac:dyDescent="0.25">
      <c r="B19" s="28" t="s">
        <v>27</v>
      </c>
      <c r="C19" s="30">
        <f>Backlog!F46</f>
        <v>234</v>
      </c>
      <c r="D19" s="10" t="s">
        <v>28</v>
      </c>
      <c r="E19" s="10"/>
      <c r="F19" s="10"/>
      <c r="G19" s="10"/>
    </row>
    <row r="20" spans="1:8" ht="15" customHeight="1" x14ac:dyDescent="0.25">
      <c r="B20" s="31" t="s">
        <v>29</v>
      </c>
      <c r="C20" s="32">
        <v>0.15</v>
      </c>
      <c r="D20" s="9" t="s">
        <v>30</v>
      </c>
      <c r="E20" s="9"/>
      <c r="F20" s="9"/>
      <c r="G20" s="9"/>
    </row>
    <row r="22" spans="1:8" ht="18" customHeight="1" x14ac:dyDescent="0.25">
      <c r="A22" s="8" t="s">
        <v>31</v>
      </c>
      <c r="B22" s="8"/>
      <c r="C22" s="8"/>
      <c r="D22" s="8"/>
      <c r="E22" s="8"/>
      <c r="F22" s="8"/>
      <c r="G22" s="8"/>
      <c r="H22" s="8"/>
    </row>
    <row r="24" spans="1:8" ht="19.5" customHeight="1" x14ac:dyDescent="0.25">
      <c r="B24" s="7" t="s">
        <v>32</v>
      </c>
      <c r="C24" s="7"/>
      <c r="D24" s="7"/>
      <c r="E24" s="6">
        <f>CEILING(C19/C18,1)</f>
        <v>6</v>
      </c>
      <c r="F24" s="6"/>
      <c r="G24" s="6"/>
      <c r="H24" s="6"/>
    </row>
    <row r="25" spans="1:8" ht="19.5" customHeight="1" x14ac:dyDescent="0.25">
      <c r="B25" s="7" t="s">
        <v>33</v>
      </c>
      <c r="C25" s="7"/>
      <c r="D25" s="7"/>
      <c r="E25" s="6">
        <f>CEILING(C19*(1+C20)/C18,1)</f>
        <v>7</v>
      </c>
      <c r="F25" s="6"/>
      <c r="G25" s="6"/>
      <c r="H25" s="6"/>
    </row>
    <row r="26" spans="1:8" ht="19.5" customHeight="1" x14ac:dyDescent="0.25">
      <c r="B26" s="7" t="s">
        <v>34</v>
      </c>
      <c r="C26" s="7"/>
      <c r="D26" s="7"/>
      <c r="E26" s="6">
        <f>CEILING(C19*(1+C20)/C18,1)*C17</f>
        <v>14</v>
      </c>
      <c r="F26" s="6"/>
      <c r="G26" s="6"/>
      <c r="H26" s="6"/>
    </row>
    <row r="27" spans="1:8" ht="19.5" customHeight="1" x14ac:dyDescent="0.25">
      <c r="B27" s="5" t="s">
        <v>35</v>
      </c>
      <c r="C27" s="5"/>
      <c r="D27" s="5"/>
      <c r="E27" s="4">
        <f>CEILING(C19/C18,1)*Assumptions!F13</f>
        <v>178800</v>
      </c>
      <c r="F27" s="4"/>
      <c r="G27" s="4"/>
      <c r="H27" s="4"/>
    </row>
    <row r="28" spans="1:8" ht="19.5" customHeight="1" x14ac:dyDescent="0.25">
      <c r="B28" s="5" t="s">
        <v>36</v>
      </c>
      <c r="C28" s="5"/>
      <c r="D28" s="5"/>
      <c r="E28" s="4">
        <f>CEILING(C19*(1+C20)/C18,1)*Assumptions!F13</f>
        <v>208600</v>
      </c>
      <c r="F28" s="4"/>
      <c r="G28" s="4"/>
      <c r="H28" s="4"/>
    </row>
    <row r="29" spans="1:8" ht="19.5" customHeight="1" x14ac:dyDescent="0.25">
      <c r="B29" s="3" t="s">
        <v>37</v>
      </c>
      <c r="C29" s="3"/>
      <c r="D29" s="3"/>
      <c r="E29" s="2">
        <v>10548</v>
      </c>
      <c r="F29" s="2"/>
      <c r="G29" s="2"/>
      <c r="H29" s="2"/>
    </row>
    <row r="30" spans="1:8" ht="19.5" customHeight="1" x14ac:dyDescent="0.25">
      <c r="B30" s="5" t="s">
        <v>38</v>
      </c>
      <c r="C30" s="5"/>
      <c r="D30" s="5"/>
      <c r="E30" s="4">
        <f>CEILING(C19*(1+C20)/C18,1)*Assumptions!F13+E29</f>
        <v>219148</v>
      </c>
      <c r="F30" s="4"/>
      <c r="G30" s="4"/>
      <c r="H30" s="4"/>
    </row>
  </sheetData>
  <mergeCells count="24">
    <mergeCell ref="B30:D30"/>
    <mergeCell ref="E30:H30"/>
    <mergeCell ref="B27:D27"/>
    <mergeCell ref="E27:H27"/>
    <mergeCell ref="B28:D28"/>
    <mergeCell ref="E28:H28"/>
    <mergeCell ref="B29:D29"/>
    <mergeCell ref="E29:H29"/>
    <mergeCell ref="B24:D24"/>
    <mergeCell ref="E24:H24"/>
    <mergeCell ref="B25:D25"/>
    <mergeCell ref="E25:H25"/>
    <mergeCell ref="B26:D26"/>
    <mergeCell ref="E26:H26"/>
    <mergeCell ref="D17:G17"/>
    <mergeCell ref="D18:G18"/>
    <mergeCell ref="D19:G19"/>
    <mergeCell ref="D20:G20"/>
    <mergeCell ref="A22:H22"/>
    <mergeCell ref="A1:H2"/>
    <mergeCell ref="A3:H3"/>
    <mergeCell ref="A5:H5"/>
    <mergeCell ref="B13:E13"/>
    <mergeCell ref="A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showGridLines="0" topLeftCell="A8" zoomScaleNormal="100" workbookViewId="0">
      <selection activeCell="F13" sqref="F13"/>
    </sheetView>
  </sheetViews>
  <sheetFormatPr baseColWidth="10" defaultColWidth="8.7109375" defaultRowHeight="15" x14ac:dyDescent="0.25"/>
  <cols>
    <col min="1" max="1" width="5" customWidth="1"/>
    <col min="2" max="2" width="26" customWidth="1"/>
    <col min="3" max="3" width="36" customWidth="1"/>
    <col min="4" max="4" width="11.42578125" customWidth="1"/>
    <col min="5" max="5" width="13" customWidth="1"/>
    <col min="6" max="6" width="6" customWidth="1"/>
    <col min="7" max="7" width="8" customWidth="1"/>
    <col min="8" max="8" width="46" customWidth="1"/>
    <col min="9" max="9" width="13" customWidth="1"/>
  </cols>
  <sheetData>
    <row r="1" spans="1:9" ht="27.75" customHeight="1" x14ac:dyDescent="0.25">
      <c r="A1" s="1" t="s">
        <v>39</v>
      </c>
      <c r="B1" s="1"/>
      <c r="C1" s="1"/>
      <c r="D1" s="1"/>
      <c r="E1" s="1"/>
      <c r="F1" s="1"/>
      <c r="G1" s="1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30" customHeight="1" x14ac:dyDescent="0.25">
      <c r="A3" s="15" t="s">
        <v>40</v>
      </c>
      <c r="B3" s="15" t="s">
        <v>41</v>
      </c>
      <c r="C3" s="15" t="s">
        <v>42</v>
      </c>
      <c r="D3" s="15" t="s">
        <v>43</v>
      </c>
      <c r="E3" s="15" t="s">
        <v>44</v>
      </c>
      <c r="F3" s="15" t="s">
        <v>45</v>
      </c>
      <c r="G3" s="15" t="s">
        <v>46</v>
      </c>
      <c r="H3" s="15" t="s">
        <v>47</v>
      </c>
      <c r="I3" s="15" t="s">
        <v>48</v>
      </c>
    </row>
    <row r="4" spans="1:9" ht="15" customHeight="1" x14ac:dyDescent="0.25">
      <c r="A4" s="34">
        <v>1</v>
      </c>
      <c r="B4" s="35" t="s">
        <v>49</v>
      </c>
      <c r="C4" s="36" t="s">
        <v>50</v>
      </c>
      <c r="D4" s="37" t="s">
        <v>51</v>
      </c>
      <c r="E4" s="38" t="s">
        <v>52</v>
      </c>
      <c r="F4" s="39">
        <v>5</v>
      </c>
      <c r="G4" s="37">
        <v>1</v>
      </c>
      <c r="H4" s="36" t="s">
        <v>53</v>
      </c>
      <c r="I4" s="37" t="s">
        <v>245</v>
      </c>
    </row>
    <row r="5" spans="1:9" ht="15" customHeight="1" x14ac:dyDescent="0.25">
      <c r="A5" s="34">
        <v>2</v>
      </c>
      <c r="B5" s="36"/>
      <c r="C5" s="36" t="s">
        <v>54</v>
      </c>
      <c r="D5" s="37" t="s">
        <v>51</v>
      </c>
      <c r="E5" s="38" t="s">
        <v>52</v>
      </c>
      <c r="F5" s="39">
        <v>3</v>
      </c>
      <c r="G5" s="37">
        <v>1</v>
      </c>
      <c r="H5" s="36" t="s">
        <v>55</v>
      </c>
      <c r="I5" s="37" t="s">
        <v>245</v>
      </c>
    </row>
    <row r="6" spans="1:9" ht="15" customHeight="1" x14ac:dyDescent="0.25">
      <c r="A6" s="34">
        <v>3</v>
      </c>
      <c r="B6" s="36"/>
      <c r="C6" s="36" t="s">
        <v>56</v>
      </c>
      <c r="D6" s="37" t="s">
        <v>51</v>
      </c>
      <c r="E6" s="38" t="s">
        <v>52</v>
      </c>
      <c r="F6" s="39">
        <v>3</v>
      </c>
      <c r="G6" s="37">
        <v>1</v>
      </c>
      <c r="H6" s="36" t="s">
        <v>57</v>
      </c>
      <c r="I6" s="37" t="s">
        <v>245</v>
      </c>
    </row>
    <row r="7" spans="1:9" ht="15" customHeight="1" x14ac:dyDescent="0.25">
      <c r="A7" s="34">
        <v>4</v>
      </c>
      <c r="B7" s="36"/>
      <c r="C7" s="36" t="s">
        <v>58</v>
      </c>
      <c r="D7" s="37" t="s">
        <v>59</v>
      </c>
      <c r="E7" s="38" t="s">
        <v>52</v>
      </c>
      <c r="F7" s="39">
        <v>8</v>
      </c>
      <c r="G7" s="37">
        <v>2</v>
      </c>
      <c r="H7" s="36" t="s">
        <v>60</v>
      </c>
      <c r="I7" s="37" t="s">
        <v>245</v>
      </c>
    </row>
    <row r="8" spans="1:9" ht="15" customHeight="1" x14ac:dyDescent="0.25">
      <c r="A8" s="34">
        <v>5</v>
      </c>
      <c r="B8" s="36"/>
      <c r="C8" s="36" t="s">
        <v>61</v>
      </c>
      <c r="D8" s="37" t="s">
        <v>59</v>
      </c>
      <c r="E8" s="38" t="s">
        <v>52</v>
      </c>
      <c r="F8" s="39">
        <v>5</v>
      </c>
      <c r="G8" s="37">
        <v>2</v>
      </c>
      <c r="H8" s="36" t="s">
        <v>62</v>
      </c>
      <c r="I8" s="37" t="s">
        <v>245</v>
      </c>
    </row>
    <row r="9" spans="1:9" ht="15" customHeight="1" x14ac:dyDescent="0.25">
      <c r="A9" s="40">
        <v>6</v>
      </c>
      <c r="B9" s="33" t="s">
        <v>63</v>
      </c>
      <c r="C9" s="41" t="s">
        <v>64</v>
      </c>
      <c r="D9" s="42" t="s">
        <v>51</v>
      </c>
      <c r="E9" s="38" t="s">
        <v>52</v>
      </c>
      <c r="F9" s="43">
        <v>8</v>
      </c>
      <c r="G9" s="42">
        <v>2</v>
      </c>
      <c r="H9" s="41" t="s">
        <v>65</v>
      </c>
      <c r="I9" s="37" t="s">
        <v>245</v>
      </c>
    </row>
    <row r="10" spans="1:9" ht="15" customHeight="1" x14ac:dyDescent="0.25">
      <c r="A10" s="40">
        <v>7</v>
      </c>
      <c r="B10" s="41"/>
      <c r="C10" s="41" t="s">
        <v>66</v>
      </c>
      <c r="D10" s="42" t="s">
        <v>51</v>
      </c>
      <c r="E10" s="38" t="s">
        <v>52</v>
      </c>
      <c r="F10" s="43">
        <v>5</v>
      </c>
      <c r="G10" s="42">
        <v>3</v>
      </c>
      <c r="H10" s="41" t="s">
        <v>67</v>
      </c>
      <c r="I10" s="37" t="s">
        <v>245</v>
      </c>
    </row>
    <row r="11" spans="1:9" ht="15" customHeight="1" x14ac:dyDescent="0.25">
      <c r="A11" s="40">
        <v>8</v>
      </c>
      <c r="B11" s="41"/>
      <c r="C11" s="41" t="s">
        <v>68</v>
      </c>
      <c r="D11" s="42" t="s">
        <v>51</v>
      </c>
      <c r="E11" s="38" t="s">
        <v>52</v>
      </c>
      <c r="F11" s="43">
        <v>8</v>
      </c>
      <c r="G11" s="42">
        <v>3</v>
      </c>
      <c r="H11" s="41" t="s">
        <v>69</v>
      </c>
      <c r="I11" s="37" t="s">
        <v>245</v>
      </c>
    </row>
    <row r="12" spans="1:9" ht="15" customHeight="1" x14ac:dyDescent="0.25">
      <c r="A12" s="40">
        <v>9</v>
      </c>
      <c r="B12" s="41"/>
      <c r="C12" s="41" t="s">
        <v>70</v>
      </c>
      <c r="D12" s="42" t="s">
        <v>51</v>
      </c>
      <c r="E12" s="38" t="s">
        <v>52</v>
      </c>
      <c r="F12" s="43">
        <v>5</v>
      </c>
      <c r="G12" s="42">
        <v>3</v>
      </c>
      <c r="H12" s="41" t="s">
        <v>71</v>
      </c>
      <c r="I12" s="37" t="s">
        <v>245</v>
      </c>
    </row>
    <row r="13" spans="1:9" ht="15" customHeight="1" x14ac:dyDescent="0.25">
      <c r="A13" s="40">
        <v>10</v>
      </c>
      <c r="B13" s="41"/>
      <c r="C13" s="41" t="s">
        <v>72</v>
      </c>
      <c r="D13" s="42" t="s">
        <v>51</v>
      </c>
      <c r="E13" s="38" t="s">
        <v>52</v>
      </c>
      <c r="F13" s="43">
        <v>5</v>
      </c>
      <c r="G13" s="42">
        <v>4</v>
      </c>
      <c r="H13" s="41" t="s">
        <v>73</v>
      </c>
      <c r="I13" s="37" t="s">
        <v>245</v>
      </c>
    </row>
    <row r="14" spans="1:9" ht="15" customHeight="1" x14ac:dyDescent="0.25">
      <c r="A14" s="40">
        <v>11</v>
      </c>
      <c r="B14" s="41"/>
      <c r="C14" s="41" t="s">
        <v>74</v>
      </c>
      <c r="D14" s="42" t="s">
        <v>51</v>
      </c>
      <c r="E14" s="44" t="s">
        <v>75</v>
      </c>
      <c r="F14" s="43">
        <v>3</v>
      </c>
      <c r="G14" s="42">
        <v>4</v>
      </c>
      <c r="H14" s="41" t="s">
        <v>76</v>
      </c>
      <c r="I14" s="37" t="s">
        <v>245</v>
      </c>
    </row>
    <row r="15" spans="1:9" ht="15" customHeight="1" x14ac:dyDescent="0.25">
      <c r="A15" s="40">
        <v>12</v>
      </c>
      <c r="B15" s="41"/>
      <c r="C15" s="41" t="s">
        <v>77</v>
      </c>
      <c r="D15" s="42" t="s">
        <v>51</v>
      </c>
      <c r="E15" s="44" t="s">
        <v>75</v>
      </c>
      <c r="F15" s="43">
        <v>3</v>
      </c>
      <c r="G15" s="42">
        <v>4</v>
      </c>
      <c r="H15" s="41" t="s">
        <v>78</v>
      </c>
      <c r="I15" s="37" t="s">
        <v>245</v>
      </c>
    </row>
    <row r="16" spans="1:9" ht="15" customHeight="1" x14ac:dyDescent="0.25">
      <c r="A16" s="45">
        <v>13</v>
      </c>
      <c r="B16" s="31" t="s">
        <v>79</v>
      </c>
      <c r="C16" s="46" t="s">
        <v>80</v>
      </c>
      <c r="D16" s="47" t="s">
        <v>59</v>
      </c>
      <c r="E16" s="38" t="s">
        <v>52</v>
      </c>
      <c r="F16" s="48">
        <v>5</v>
      </c>
      <c r="G16" s="47">
        <v>2</v>
      </c>
      <c r="H16" s="46" t="s">
        <v>81</v>
      </c>
      <c r="I16" s="37" t="s">
        <v>245</v>
      </c>
    </row>
    <row r="17" spans="1:9" ht="21.75" customHeight="1" x14ac:dyDescent="0.25">
      <c r="A17" s="45">
        <v>14</v>
      </c>
      <c r="B17" s="46"/>
      <c r="C17" s="46" t="s">
        <v>82</v>
      </c>
      <c r="D17" s="47" t="s">
        <v>59</v>
      </c>
      <c r="E17" s="38" t="s">
        <v>52</v>
      </c>
      <c r="F17" s="48">
        <v>8</v>
      </c>
      <c r="G17" s="47">
        <v>3</v>
      </c>
      <c r="H17" s="46" t="s">
        <v>83</v>
      </c>
      <c r="I17" s="37" t="s">
        <v>245</v>
      </c>
    </row>
    <row r="18" spans="1:9" ht="15" customHeight="1" x14ac:dyDescent="0.25">
      <c r="A18" s="45">
        <v>15</v>
      </c>
      <c r="B18" s="46"/>
      <c r="C18" s="46" t="s">
        <v>84</v>
      </c>
      <c r="D18" s="47" t="s">
        <v>59</v>
      </c>
      <c r="E18" s="38" t="s">
        <v>52</v>
      </c>
      <c r="F18" s="48">
        <v>5</v>
      </c>
      <c r="G18" s="47">
        <v>3</v>
      </c>
      <c r="H18" s="46" t="s">
        <v>85</v>
      </c>
      <c r="I18" s="37" t="s">
        <v>245</v>
      </c>
    </row>
    <row r="19" spans="1:9" ht="15" customHeight="1" x14ac:dyDescent="0.25">
      <c r="A19" s="45">
        <v>16</v>
      </c>
      <c r="B19" s="46"/>
      <c r="C19" s="46" t="s">
        <v>86</v>
      </c>
      <c r="D19" s="47" t="s">
        <v>59</v>
      </c>
      <c r="E19" s="38" t="s">
        <v>52</v>
      </c>
      <c r="F19" s="48">
        <v>3</v>
      </c>
      <c r="G19" s="47">
        <v>3</v>
      </c>
      <c r="H19" s="46" t="s">
        <v>87</v>
      </c>
      <c r="I19" s="37" t="s">
        <v>245</v>
      </c>
    </row>
    <row r="20" spans="1:9" ht="21.75" customHeight="1" x14ac:dyDescent="0.25">
      <c r="A20" s="45">
        <v>17</v>
      </c>
      <c r="B20" s="46"/>
      <c r="C20" s="46" t="s">
        <v>88</v>
      </c>
      <c r="D20" s="47" t="s">
        <v>59</v>
      </c>
      <c r="E20" s="44" t="s">
        <v>75</v>
      </c>
      <c r="F20" s="48">
        <v>5</v>
      </c>
      <c r="G20" s="47">
        <v>4</v>
      </c>
      <c r="H20" s="46" t="s">
        <v>89</v>
      </c>
      <c r="I20" s="37" t="s">
        <v>245</v>
      </c>
    </row>
    <row r="21" spans="1:9" ht="15" customHeight="1" x14ac:dyDescent="0.25">
      <c r="A21" s="45">
        <v>18</v>
      </c>
      <c r="B21" s="46"/>
      <c r="C21" s="46" t="s">
        <v>90</v>
      </c>
      <c r="D21" s="47" t="s">
        <v>59</v>
      </c>
      <c r="E21" s="44" t="s">
        <v>75</v>
      </c>
      <c r="F21" s="48">
        <v>8</v>
      </c>
      <c r="G21" s="47">
        <v>5</v>
      </c>
      <c r="H21" s="46" t="s">
        <v>91</v>
      </c>
      <c r="I21" s="37" t="s">
        <v>245</v>
      </c>
    </row>
    <row r="22" spans="1:9" ht="15" customHeight="1" x14ac:dyDescent="0.25">
      <c r="A22" s="45">
        <v>19</v>
      </c>
      <c r="B22" s="46"/>
      <c r="C22" s="46" t="s">
        <v>92</v>
      </c>
      <c r="D22" s="47" t="s">
        <v>59</v>
      </c>
      <c r="E22" s="49" t="s">
        <v>93</v>
      </c>
      <c r="F22" s="48">
        <v>3</v>
      </c>
      <c r="G22" s="47">
        <v>6</v>
      </c>
      <c r="H22" s="46" t="s">
        <v>94</v>
      </c>
      <c r="I22" s="37" t="s">
        <v>245</v>
      </c>
    </row>
    <row r="23" spans="1:9" ht="15" customHeight="1" x14ac:dyDescent="0.25">
      <c r="A23" s="50">
        <v>20</v>
      </c>
      <c r="B23" s="28" t="s">
        <v>95</v>
      </c>
      <c r="C23" s="51" t="s">
        <v>96</v>
      </c>
      <c r="D23" s="52" t="s">
        <v>59</v>
      </c>
      <c r="E23" s="44" t="s">
        <v>75</v>
      </c>
      <c r="F23" s="53">
        <v>8</v>
      </c>
      <c r="G23" s="52">
        <v>5</v>
      </c>
      <c r="H23" s="51" t="s">
        <v>97</v>
      </c>
      <c r="I23" s="37" t="s">
        <v>245</v>
      </c>
    </row>
    <row r="24" spans="1:9" ht="21.75" customHeight="1" x14ac:dyDescent="0.25">
      <c r="A24" s="50">
        <v>21</v>
      </c>
      <c r="B24" s="51"/>
      <c r="C24" s="51" t="s">
        <v>98</v>
      </c>
      <c r="D24" s="52" t="s">
        <v>59</v>
      </c>
      <c r="E24" s="44" t="s">
        <v>75</v>
      </c>
      <c r="F24" s="53">
        <v>8</v>
      </c>
      <c r="G24" s="52">
        <v>5</v>
      </c>
      <c r="H24" s="51" t="s">
        <v>99</v>
      </c>
      <c r="I24" s="37" t="s">
        <v>245</v>
      </c>
    </row>
    <row r="25" spans="1:9" ht="15" customHeight="1" x14ac:dyDescent="0.25">
      <c r="A25" s="50">
        <v>22</v>
      </c>
      <c r="B25" s="51"/>
      <c r="C25" s="51" t="s">
        <v>100</v>
      </c>
      <c r="D25" s="52" t="s">
        <v>59</v>
      </c>
      <c r="E25" s="44" t="s">
        <v>75</v>
      </c>
      <c r="F25" s="53">
        <v>5</v>
      </c>
      <c r="G25" s="52">
        <v>5</v>
      </c>
      <c r="H25" s="51" t="s">
        <v>101</v>
      </c>
      <c r="I25" s="37" t="s">
        <v>245</v>
      </c>
    </row>
    <row r="26" spans="1:9" ht="15" customHeight="1" x14ac:dyDescent="0.25">
      <c r="A26" s="50">
        <v>23</v>
      </c>
      <c r="B26" s="51"/>
      <c r="C26" s="51" t="s">
        <v>102</v>
      </c>
      <c r="D26" s="52" t="s">
        <v>59</v>
      </c>
      <c r="E26" s="49" t="s">
        <v>93</v>
      </c>
      <c r="F26" s="53">
        <v>5</v>
      </c>
      <c r="G26" s="52">
        <v>6</v>
      </c>
      <c r="H26" s="51" t="s">
        <v>103</v>
      </c>
      <c r="I26" s="37" t="s">
        <v>245</v>
      </c>
    </row>
    <row r="27" spans="1:9" ht="15" customHeight="1" x14ac:dyDescent="0.25">
      <c r="A27" s="54">
        <v>24</v>
      </c>
      <c r="B27" s="55" t="s">
        <v>104</v>
      </c>
      <c r="C27" s="56" t="s">
        <v>105</v>
      </c>
      <c r="D27" s="57" t="s">
        <v>51</v>
      </c>
      <c r="E27" s="38" t="s">
        <v>52</v>
      </c>
      <c r="F27" s="58">
        <v>3</v>
      </c>
      <c r="G27" s="57">
        <v>4</v>
      </c>
      <c r="H27" s="56" t="s">
        <v>106</v>
      </c>
      <c r="I27" s="37" t="s">
        <v>245</v>
      </c>
    </row>
    <row r="28" spans="1:9" ht="15" customHeight="1" x14ac:dyDescent="0.25">
      <c r="A28" s="54">
        <v>25</v>
      </c>
      <c r="B28" s="56"/>
      <c r="C28" s="56" t="s">
        <v>107</v>
      </c>
      <c r="D28" s="57" t="s">
        <v>59</v>
      </c>
      <c r="E28" s="44" t="s">
        <v>75</v>
      </c>
      <c r="F28" s="58">
        <v>5</v>
      </c>
      <c r="G28" s="57">
        <v>5</v>
      </c>
      <c r="H28" s="56" t="s">
        <v>108</v>
      </c>
      <c r="I28" s="37" t="s">
        <v>245</v>
      </c>
    </row>
    <row r="29" spans="1:9" ht="15" customHeight="1" x14ac:dyDescent="0.25">
      <c r="A29" s="54">
        <v>26</v>
      </c>
      <c r="B29" s="56"/>
      <c r="C29" s="56" t="s">
        <v>109</v>
      </c>
      <c r="D29" s="57" t="s">
        <v>51</v>
      </c>
      <c r="E29" s="49" t="s">
        <v>93</v>
      </c>
      <c r="F29" s="58">
        <v>5</v>
      </c>
      <c r="G29" s="57">
        <v>6</v>
      </c>
      <c r="H29" s="56" t="s">
        <v>110</v>
      </c>
      <c r="I29" s="37" t="s">
        <v>245</v>
      </c>
    </row>
    <row r="30" spans="1:9" ht="15" customHeight="1" x14ac:dyDescent="0.25">
      <c r="A30" s="59">
        <v>27</v>
      </c>
      <c r="B30" s="60" t="s">
        <v>111</v>
      </c>
      <c r="C30" s="61" t="s">
        <v>112</v>
      </c>
      <c r="D30" s="62" t="s">
        <v>51</v>
      </c>
      <c r="E30" s="38" t="s">
        <v>52</v>
      </c>
      <c r="F30" s="63">
        <v>5</v>
      </c>
      <c r="G30" s="62">
        <v>3</v>
      </c>
      <c r="H30" s="61" t="s">
        <v>113</v>
      </c>
      <c r="I30" s="37" t="s">
        <v>245</v>
      </c>
    </row>
    <row r="31" spans="1:9" ht="15" customHeight="1" x14ac:dyDescent="0.25">
      <c r="A31" s="59">
        <v>28</v>
      </c>
      <c r="B31" s="61"/>
      <c r="C31" s="61" t="s">
        <v>114</v>
      </c>
      <c r="D31" s="62" t="s">
        <v>51</v>
      </c>
      <c r="E31" s="38" t="s">
        <v>52</v>
      </c>
      <c r="F31" s="63">
        <v>3</v>
      </c>
      <c r="G31" s="62">
        <v>3</v>
      </c>
      <c r="H31" s="61" t="s">
        <v>115</v>
      </c>
      <c r="I31" s="37" t="s">
        <v>245</v>
      </c>
    </row>
    <row r="32" spans="1:9" ht="15" customHeight="1" x14ac:dyDescent="0.25">
      <c r="A32" s="59">
        <v>29</v>
      </c>
      <c r="B32" s="61"/>
      <c r="C32" s="61" t="s">
        <v>116</v>
      </c>
      <c r="D32" s="62" t="s">
        <v>117</v>
      </c>
      <c r="E32" s="38" t="s">
        <v>52</v>
      </c>
      <c r="F32" s="63">
        <v>5</v>
      </c>
      <c r="G32" s="62">
        <v>3</v>
      </c>
      <c r="H32" s="61" t="s">
        <v>118</v>
      </c>
      <c r="I32" s="37" t="s">
        <v>245</v>
      </c>
    </row>
    <row r="33" spans="1:9" ht="15" customHeight="1" x14ac:dyDescent="0.25">
      <c r="A33" s="59">
        <v>30</v>
      </c>
      <c r="B33" s="61"/>
      <c r="C33" s="61" t="s">
        <v>119</v>
      </c>
      <c r="D33" s="62" t="s">
        <v>59</v>
      </c>
      <c r="E33" s="38" t="s">
        <v>52</v>
      </c>
      <c r="F33" s="63">
        <v>3</v>
      </c>
      <c r="G33" s="62">
        <v>4</v>
      </c>
      <c r="H33" s="61" t="s">
        <v>120</v>
      </c>
      <c r="I33" s="37" t="s">
        <v>245</v>
      </c>
    </row>
    <row r="34" spans="1:9" ht="24" x14ac:dyDescent="0.25">
      <c r="A34" s="64">
        <v>31</v>
      </c>
      <c r="B34" s="65" t="s">
        <v>121</v>
      </c>
      <c r="C34" s="66" t="s">
        <v>122</v>
      </c>
      <c r="D34" s="67" t="s">
        <v>123</v>
      </c>
      <c r="E34" s="38" t="s">
        <v>52</v>
      </c>
      <c r="F34" s="68">
        <v>8</v>
      </c>
      <c r="G34" s="67">
        <v>1</v>
      </c>
      <c r="H34" s="66" t="s">
        <v>124</v>
      </c>
      <c r="I34" s="37" t="s">
        <v>245</v>
      </c>
    </row>
    <row r="35" spans="1:9" ht="24" x14ac:dyDescent="0.25">
      <c r="A35" s="64">
        <v>32</v>
      </c>
      <c r="B35" s="66"/>
      <c r="C35" s="66" t="s">
        <v>125</v>
      </c>
      <c r="D35" s="67" t="s">
        <v>123</v>
      </c>
      <c r="E35" s="38" t="s">
        <v>52</v>
      </c>
      <c r="F35" s="68">
        <v>8</v>
      </c>
      <c r="G35" s="67">
        <v>1</v>
      </c>
      <c r="H35" s="66" t="s">
        <v>126</v>
      </c>
      <c r="I35" s="37" t="s">
        <v>245</v>
      </c>
    </row>
    <row r="36" spans="1:9" ht="24" x14ac:dyDescent="0.25">
      <c r="A36" s="64">
        <v>33</v>
      </c>
      <c r="B36" s="66"/>
      <c r="C36" s="66" t="s">
        <v>127</v>
      </c>
      <c r="D36" s="67" t="s">
        <v>123</v>
      </c>
      <c r="E36" s="38" t="s">
        <v>52</v>
      </c>
      <c r="F36" s="68">
        <v>5</v>
      </c>
      <c r="G36" s="67">
        <v>1</v>
      </c>
      <c r="H36" s="66" t="s">
        <v>128</v>
      </c>
      <c r="I36" s="37" t="s">
        <v>245</v>
      </c>
    </row>
    <row r="37" spans="1:9" ht="15" customHeight="1" x14ac:dyDescent="0.25">
      <c r="A37" s="64">
        <v>34</v>
      </c>
      <c r="B37" s="66"/>
      <c r="C37" s="66" t="s">
        <v>129</v>
      </c>
      <c r="D37" s="67" t="s">
        <v>123</v>
      </c>
      <c r="E37" s="38" t="s">
        <v>52</v>
      </c>
      <c r="F37" s="68">
        <v>5</v>
      </c>
      <c r="G37" s="67">
        <v>2</v>
      </c>
      <c r="H37" s="66" t="s">
        <v>130</v>
      </c>
      <c r="I37" s="37" t="s">
        <v>245</v>
      </c>
    </row>
    <row r="38" spans="1:9" ht="15" customHeight="1" x14ac:dyDescent="0.25">
      <c r="A38" s="64">
        <v>35</v>
      </c>
      <c r="B38" s="66"/>
      <c r="C38" s="66" t="s">
        <v>131</v>
      </c>
      <c r="D38" s="67" t="s">
        <v>123</v>
      </c>
      <c r="E38" s="44" t="s">
        <v>75</v>
      </c>
      <c r="F38" s="68">
        <v>8</v>
      </c>
      <c r="G38" s="67">
        <v>6</v>
      </c>
      <c r="H38" s="66" t="s">
        <v>132</v>
      </c>
      <c r="I38" s="37" t="s">
        <v>245</v>
      </c>
    </row>
    <row r="39" spans="1:9" ht="15" customHeight="1" x14ac:dyDescent="0.25">
      <c r="A39" s="64">
        <v>36</v>
      </c>
      <c r="B39" s="66"/>
      <c r="C39" s="66" t="s">
        <v>133</v>
      </c>
      <c r="D39" s="67" t="s">
        <v>123</v>
      </c>
      <c r="E39" s="44" t="s">
        <v>75</v>
      </c>
      <c r="F39" s="68">
        <v>8</v>
      </c>
      <c r="G39" s="67">
        <v>6</v>
      </c>
      <c r="H39" s="66" t="s">
        <v>134</v>
      </c>
      <c r="I39" s="37" t="s">
        <v>245</v>
      </c>
    </row>
    <row r="40" spans="1:9" ht="21.75" customHeight="1" x14ac:dyDescent="0.25">
      <c r="A40" s="69">
        <v>37</v>
      </c>
      <c r="B40" s="70" t="s">
        <v>135</v>
      </c>
      <c r="C40" s="71" t="s">
        <v>136</v>
      </c>
      <c r="D40" s="72" t="s">
        <v>137</v>
      </c>
      <c r="E40" s="38" t="s">
        <v>52</v>
      </c>
      <c r="F40" s="73">
        <v>5</v>
      </c>
      <c r="G40" s="72">
        <v>2</v>
      </c>
      <c r="H40" s="71" t="s">
        <v>138</v>
      </c>
      <c r="I40" s="37" t="s">
        <v>245</v>
      </c>
    </row>
    <row r="41" spans="1:9" ht="15" customHeight="1" x14ac:dyDescent="0.25">
      <c r="A41" s="69">
        <v>38</v>
      </c>
      <c r="B41" s="71"/>
      <c r="C41" s="71" t="s">
        <v>139</v>
      </c>
      <c r="D41" s="72" t="s">
        <v>137</v>
      </c>
      <c r="E41" s="38" t="s">
        <v>52</v>
      </c>
      <c r="F41" s="73">
        <v>5</v>
      </c>
      <c r="G41" s="72">
        <v>3</v>
      </c>
      <c r="H41" s="71" t="s">
        <v>140</v>
      </c>
      <c r="I41" s="37" t="s">
        <v>245</v>
      </c>
    </row>
    <row r="42" spans="1:9" ht="15" customHeight="1" x14ac:dyDescent="0.25">
      <c r="A42" s="69">
        <v>39</v>
      </c>
      <c r="B42" s="71"/>
      <c r="C42" s="71" t="s">
        <v>141</v>
      </c>
      <c r="D42" s="72" t="s">
        <v>137</v>
      </c>
      <c r="E42" s="38" t="s">
        <v>52</v>
      </c>
      <c r="F42" s="73">
        <v>8</v>
      </c>
      <c r="G42" s="72">
        <v>4</v>
      </c>
      <c r="H42" s="71" t="s">
        <v>142</v>
      </c>
      <c r="I42" s="37" t="s">
        <v>245</v>
      </c>
    </row>
    <row r="43" spans="1:9" ht="15" customHeight="1" x14ac:dyDescent="0.25">
      <c r="A43" s="69">
        <v>40</v>
      </c>
      <c r="B43" s="71"/>
      <c r="C43" s="71" t="s">
        <v>143</v>
      </c>
      <c r="D43" s="72" t="s">
        <v>137</v>
      </c>
      <c r="E43" s="44" t="s">
        <v>75</v>
      </c>
      <c r="F43" s="73">
        <v>8</v>
      </c>
      <c r="G43" s="72">
        <v>6</v>
      </c>
      <c r="H43" s="71" t="s">
        <v>144</v>
      </c>
      <c r="I43" s="37" t="s">
        <v>245</v>
      </c>
    </row>
    <row r="44" spans="1:9" ht="15" customHeight="1" x14ac:dyDescent="0.25">
      <c r="A44" s="69">
        <v>41</v>
      </c>
      <c r="B44" s="71"/>
      <c r="C44" s="71" t="s">
        <v>145</v>
      </c>
      <c r="D44" s="72" t="s">
        <v>137</v>
      </c>
      <c r="E44" s="49" t="s">
        <v>93</v>
      </c>
      <c r="F44" s="73">
        <v>5</v>
      </c>
      <c r="G44" s="72">
        <v>7</v>
      </c>
      <c r="H44" s="71" t="s">
        <v>146</v>
      </c>
      <c r="I44" s="37" t="s">
        <v>245</v>
      </c>
    </row>
    <row r="45" spans="1:9" ht="15" customHeight="1" x14ac:dyDescent="0.25">
      <c r="A45" s="69">
        <v>42</v>
      </c>
      <c r="B45" s="71"/>
      <c r="C45" s="71" t="s">
        <v>147</v>
      </c>
      <c r="D45" s="72" t="s">
        <v>137</v>
      </c>
      <c r="E45" s="38" t="s">
        <v>52</v>
      </c>
      <c r="F45" s="73">
        <v>8</v>
      </c>
      <c r="G45" s="72">
        <v>7</v>
      </c>
      <c r="H45" s="71" t="s">
        <v>148</v>
      </c>
      <c r="I45" s="37" t="s">
        <v>245</v>
      </c>
    </row>
    <row r="46" spans="1:9" ht="21.75" customHeight="1" x14ac:dyDescent="0.25">
      <c r="A46" s="94" t="s">
        <v>149</v>
      </c>
      <c r="B46" s="94"/>
      <c r="C46" s="94"/>
      <c r="D46" s="94"/>
      <c r="E46" s="94"/>
      <c r="F46" s="74">
        <f>SUM(F4:F45)</f>
        <v>234</v>
      </c>
      <c r="G46" s="75"/>
      <c r="H46" s="75"/>
      <c r="I46" s="75"/>
    </row>
  </sheetData>
  <mergeCells count="2">
    <mergeCell ref="A1:I2"/>
    <mergeCell ref="A46:E4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showGridLines="0" zoomScale="128" zoomScaleNormal="100" workbookViewId="0">
      <selection activeCell="E10" sqref="E10"/>
    </sheetView>
  </sheetViews>
  <sheetFormatPr baseColWidth="10" defaultColWidth="8.7109375" defaultRowHeight="15" x14ac:dyDescent="0.25"/>
  <cols>
    <col min="1" max="1" width="10" customWidth="1"/>
    <col min="2" max="2" width="9" customWidth="1"/>
    <col min="3" max="3" width="22" customWidth="1"/>
    <col min="4" max="4" width="64.140625" bestFit="1" customWidth="1"/>
    <col min="5" max="6" width="10" customWidth="1"/>
    <col min="7" max="7" width="18" customWidth="1"/>
  </cols>
  <sheetData>
    <row r="1" spans="1:7" ht="27.75" customHeight="1" x14ac:dyDescent="0.25">
      <c r="A1" s="1" t="s">
        <v>150</v>
      </c>
      <c r="B1" s="1"/>
      <c r="C1" s="1"/>
      <c r="D1" s="1"/>
      <c r="E1" s="1"/>
      <c r="F1" s="1"/>
      <c r="G1" s="1"/>
    </row>
    <row r="2" spans="1:7" ht="15" customHeight="1" x14ac:dyDescent="0.25">
      <c r="A2" s="1"/>
      <c r="B2" s="1"/>
      <c r="C2" s="1"/>
      <c r="D2" s="1"/>
      <c r="E2" s="1"/>
      <c r="F2" s="1"/>
      <c r="G2" s="1"/>
    </row>
    <row r="3" spans="1:7" ht="27.75" customHeight="1" x14ac:dyDescent="0.25">
      <c r="A3" s="15" t="s">
        <v>46</v>
      </c>
      <c r="B3" s="15" t="s">
        <v>151</v>
      </c>
      <c r="C3" s="15" t="s">
        <v>152</v>
      </c>
      <c r="D3" s="15" t="s">
        <v>153</v>
      </c>
      <c r="E3" s="15" t="s">
        <v>154</v>
      </c>
      <c r="F3" s="15" t="s">
        <v>155</v>
      </c>
      <c r="G3" s="15" t="s">
        <v>156</v>
      </c>
    </row>
    <row r="4" spans="1:7" ht="15" customHeight="1" x14ac:dyDescent="0.25">
      <c r="A4" s="76" t="s">
        <v>157</v>
      </c>
      <c r="B4" s="77" t="s">
        <v>158</v>
      </c>
      <c r="C4" s="16" t="s">
        <v>159</v>
      </c>
      <c r="D4" s="78" t="s">
        <v>160</v>
      </c>
      <c r="E4" s="100">
        <f>21+5+3+3</f>
        <v>32</v>
      </c>
      <c r="F4" s="77">
        <f>E4</f>
        <v>32</v>
      </c>
      <c r="G4" s="79">
        <f>Assumptions!F13</f>
        <v>29800</v>
      </c>
    </row>
    <row r="5" spans="1:7" ht="21.75" customHeight="1" x14ac:dyDescent="0.25">
      <c r="A5" s="80" t="s">
        <v>161</v>
      </c>
      <c r="B5" s="81" t="s">
        <v>162</v>
      </c>
      <c r="C5" s="21" t="s">
        <v>163</v>
      </c>
      <c r="D5" s="82" t="s">
        <v>164</v>
      </c>
      <c r="E5" s="80">
        <f>8+5+8+5+5+5</f>
        <v>36</v>
      </c>
      <c r="F5" s="81">
        <f>F4+E5</f>
        <v>68</v>
      </c>
      <c r="G5" s="83">
        <f>Assumptions!F13</f>
        <v>29800</v>
      </c>
    </row>
    <row r="6" spans="1:7" ht="21.75" customHeight="1" x14ac:dyDescent="0.25">
      <c r="A6" s="76" t="s">
        <v>165</v>
      </c>
      <c r="B6" s="77" t="s">
        <v>166</v>
      </c>
      <c r="C6" s="16" t="s">
        <v>167</v>
      </c>
      <c r="D6" s="78" t="s">
        <v>168</v>
      </c>
      <c r="E6" s="76">
        <f>5+8+5+8+5+3+5+3+5+5</f>
        <v>52</v>
      </c>
      <c r="F6" s="77">
        <f>F5+E6</f>
        <v>120</v>
      </c>
      <c r="G6" s="79">
        <f>Assumptions!F13</f>
        <v>29800</v>
      </c>
    </row>
    <row r="7" spans="1:7" ht="21.75" customHeight="1" x14ac:dyDescent="0.25">
      <c r="A7" s="80" t="s">
        <v>169</v>
      </c>
      <c r="B7" s="81" t="s">
        <v>170</v>
      </c>
      <c r="C7" s="21" t="s">
        <v>171</v>
      </c>
      <c r="D7" s="82" t="s">
        <v>172</v>
      </c>
      <c r="E7" s="80">
        <f>5+3+3+5+3+3+8</f>
        <v>30</v>
      </c>
      <c r="F7" s="81">
        <f>F6+E7</f>
        <v>150</v>
      </c>
      <c r="G7" s="83">
        <f>Assumptions!F13</f>
        <v>29800</v>
      </c>
    </row>
    <row r="8" spans="1:7" ht="15" customHeight="1" x14ac:dyDescent="0.25">
      <c r="A8" s="76" t="s">
        <v>173</v>
      </c>
      <c r="B8" s="77" t="s">
        <v>174</v>
      </c>
      <c r="C8" s="16" t="s">
        <v>175</v>
      </c>
      <c r="D8" s="78" t="s">
        <v>176</v>
      </c>
      <c r="E8" s="76">
        <f>8+8+8+5+5</f>
        <v>34</v>
      </c>
      <c r="F8" s="77">
        <f>F7+E8</f>
        <v>184</v>
      </c>
      <c r="G8" s="79">
        <f>Assumptions!F13</f>
        <v>29800</v>
      </c>
    </row>
    <row r="9" spans="1:7" ht="15" customHeight="1" x14ac:dyDescent="0.25">
      <c r="A9" s="80" t="s">
        <v>177</v>
      </c>
      <c r="B9" s="81" t="s">
        <v>178</v>
      </c>
      <c r="C9" s="21" t="s">
        <v>179</v>
      </c>
      <c r="D9" s="82" t="s">
        <v>180</v>
      </c>
      <c r="E9" s="80">
        <f>3+5+5+8+8+8</f>
        <v>37</v>
      </c>
      <c r="F9" s="81">
        <f>F8+E9</f>
        <v>221</v>
      </c>
      <c r="G9" s="83">
        <f>Assumptions!F13</f>
        <v>29800</v>
      </c>
    </row>
    <row r="10" spans="1:7" ht="15" customHeight="1" x14ac:dyDescent="0.25">
      <c r="A10" s="76" t="s">
        <v>181</v>
      </c>
      <c r="B10" s="77" t="s">
        <v>182</v>
      </c>
      <c r="C10" s="16" t="s">
        <v>183</v>
      </c>
      <c r="D10" s="78" t="s">
        <v>184</v>
      </c>
      <c r="E10" s="76">
        <f>8+5</f>
        <v>13</v>
      </c>
      <c r="F10" s="77">
        <f>F9+E10</f>
        <v>234</v>
      </c>
      <c r="G10" s="79">
        <f>Assumptions!F13</f>
        <v>29800</v>
      </c>
    </row>
    <row r="11" spans="1:7" ht="15" customHeight="1" x14ac:dyDescent="0.25">
      <c r="A11" s="95" t="s">
        <v>185</v>
      </c>
      <c r="B11" s="95"/>
      <c r="C11" s="95"/>
      <c r="D11" s="95"/>
      <c r="E11" s="84">
        <f>SUM(E4:E10)</f>
        <v>234</v>
      </c>
      <c r="F11" s="84">
        <f>SUM(F4:F10)</f>
        <v>1009</v>
      </c>
      <c r="G11" s="85">
        <f>SUM(G4:G10)</f>
        <v>208600</v>
      </c>
    </row>
  </sheetData>
  <mergeCells count="2">
    <mergeCell ref="A1:G2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showGridLines="0" zoomScaleNormal="100" workbookViewId="0">
      <selection activeCell="D21" sqref="D21"/>
    </sheetView>
  </sheetViews>
  <sheetFormatPr baseColWidth="10" defaultColWidth="8.7109375" defaultRowHeight="15" x14ac:dyDescent="0.25"/>
  <cols>
    <col min="1" max="1" width="18" customWidth="1"/>
    <col min="2" max="2" width="38" customWidth="1"/>
    <col min="3" max="3" width="16" customWidth="1"/>
    <col min="4" max="5" width="18" customWidth="1"/>
    <col min="6" max="6" width="30" customWidth="1"/>
  </cols>
  <sheetData>
    <row r="1" spans="1:7" ht="27.75" customHeight="1" x14ac:dyDescent="0.25">
      <c r="A1" s="1" t="s">
        <v>186</v>
      </c>
      <c r="B1" s="1"/>
      <c r="C1" s="1"/>
      <c r="D1" s="1"/>
      <c r="E1" s="1"/>
      <c r="F1" s="1"/>
      <c r="G1" s="1"/>
    </row>
    <row r="2" spans="1:7" ht="15" customHeight="1" x14ac:dyDescent="0.25">
      <c r="A2" s="1"/>
      <c r="B2" s="1"/>
      <c r="C2" s="1"/>
      <c r="D2" s="1"/>
      <c r="E2" s="1"/>
      <c r="F2" s="1"/>
      <c r="G2" s="1"/>
    </row>
    <row r="3" spans="1:7" ht="15" customHeight="1" x14ac:dyDescent="0.25">
      <c r="A3" s="15" t="s">
        <v>187</v>
      </c>
      <c r="B3" s="15" t="s">
        <v>188</v>
      </c>
      <c r="C3" s="15" t="s">
        <v>189</v>
      </c>
      <c r="D3" s="15" t="s">
        <v>190</v>
      </c>
      <c r="E3" s="15" t="s">
        <v>191</v>
      </c>
      <c r="F3" s="15" t="s">
        <v>8</v>
      </c>
    </row>
    <row r="4" spans="1:7" ht="15" customHeight="1" x14ac:dyDescent="0.25">
      <c r="A4" s="16" t="s">
        <v>192</v>
      </c>
      <c r="B4" s="78" t="s">
        <v>193</v>
      </c>
      <c r="C4" s="77" t="s">
        <v>194</v>
      </c>
      <c r="D4" s="18">
        <v>480</v>
      </c>
      <c r="E4" s="19">
        <f t="shared" ref="E4:E17" si="0">D4*12</f>
        <v>5760</v>
      </c>
      <c r="F4" s="20" t="s">
        <v>195</v>
      </c>
    </row>
    <row r="5" spans="1:7" ht="15" customHeight="1" x14ac:dyDescent="0.25">
      <c r="A5" s="21" t="s">
        <v>192</v>
      </c>
      <c r="B5" s="82" t="s">
        <v>196</v>
      </c>
      <c r="C5" s="81" t="s">
        <v>197</v>
      </c>
      <c r="D5" s="23">
        <v>90</v>
      </c>
      <c r="E5" s="24">
        <f t="shared" si="0"/>
        <v>1080</v>
      </c>
      <c r="F5" s="25" t="s">
        <v>195</v>
      </c>
    </row>
    <row r="6" spans="1:7" ht="15" customHeight="1" x14ac:dyDescent="0.25">
      <c r="A6" s="16" t="s">
        <v>192</v>
      </c>
      <c r="B6" s="78" t="s">
        <v>198</v>
      </c>
      <c r="C6" s="77" t="s">
        <v>199</v>
      </c>
      <c r="D6" s="18">
        <v>25</v>
      </c>
      <c r="E6" s="19">
        <f t="shared" si="0"/>
        <v>300</v>
      </c>
      <c r="F6" s="20" t="s">
        <v>195</v>
      </c>
    </row>
    <row r="7" spans="1:7" ht="15" customHeight="1" x14ac:dyDescent="0.25">
      <c r="A7" s="21" t="s">
        <v>192</v>
      </c>
      <c r="B7" s="82" t="s">
        <v>200</v>
      </c>
      <c r="C7" s="81" t="s">
        <v>201</v>
      </c>
      <c r="D7" s="23">
        <v>12</v>
      </c>
      <c r="E7" s="24">
        <f t="shared" si="0"/>
        <v>144</v>
      </c>
      <c r="F7" s="25" t="s">
        <v>195</v>
      </c>
    </row>
    <row r="8" spans="1:7" ht="15" customHeight="1" x14ac:dyDescent="0.25">
      <c r="A8" s="16" t="s">
        <v>192</v>
      </c>
      <c r="B8" s="78" t="s">
        <v>202</v>
      </c>
      <c r="C8" s="77" t="s">
        <v>201</v>
      </c>
      <c r="D8" s="18">
        <v>22</v>
      </c>
      <c r="E8" s="19">
        <f t="shared" si="0"/>
        <v>264</v>
      </c>
      <c r="F8" s="20" t="s">
        <v>195</v>
      </c>
    </row>
    <row r="9" spans="1:7" ht="15" customHeight="1" x14ac:dyDescent="0.25">
      <c r="A9" s="21" t="s">
        <v>203</v>
      </c>
      <c r="B9" s="82" t="s">
        <v>204</v>
      </c>
      <c r="C9" s="81" t="s">
        <v>205</v>
      </c>
      <c r="D9" s="23">
        <v>20</v>
      </c>
      <c r="E9" s="24">
        <f t="shared" si="0"/>
        <v>240</v>
      </c>
      <c r="F9" s="25" t="s">
        <v>195</v>
      </c>
    </row>
    <row r="10" spans="1:7" ht="15" customHeight="1" x14ac:dyDescent="0.25">
      <c r="A10" s="16" t="s">
        <v>203</v>
      </c>
      <c r="B10" s="78" t="s">
        <v>206</v>
      </c>
      <c r="C10" s="77" t="s">
        <v>207</v>
      </c>
      <c r="D10" s="18">
        <v>30</v>
      </c>
      <c r="E10" s="19">
        <f t="shared" si="0"/>
        <v>360</v>
      </c>
      <c r="F10" s="20" t="s">
        <v>195</v>
      </c>
    </row>
    <row r="11" spans="1:7" ht="15" customHeight="1" x14ac:dyDescent="0.25">
      <c r="A11" s="21" t="s">
        <v>203</v>
      </c>
      <c r="B11" s="82" t="s">
        <v>208</v>
      </c>
      <c r="C11" s="81" t="s">
        <v>207</v>
      </c>
      <c r="D11" s="23">
        <v>50</v>
      </c>
      <c r="E11" s="24">
        <f t="shared" si="0"/>
        <v>600</v>
      </c>
      <c r="F11" s="25" t="s">
        <v>195</v>
      </c>
    </row>
    <row r="12" spans="1:7" ht="15" customHeight="1" x14ac:dyDescent="0.25">
      <c r="A12" s="16" t="s">
        <v>203</v>
      </c>
      <c r="B12" s="78" t="s">
        <v>209</v>
      </c>
      <c r="C12" s="77" t="s">
        <v>210</v>
      </c>
      <c r="D12" s="18">
        <v>0</v>
      </c>
      <c r="E12" s="19">
        <f t="shared" si="0"/>
        <v>0</v>
      </c>
      <c r="F12" s="20" t="s">
        <v>195</v>
      </c>
    </row>
    <row r="13" spans="1:7" ht="15" customHeight="1" x14ac:dyDescent="0.25">
      <c r="A13" s="21" t="s">
        <v>211</v>
      </c>
      <c r="B13" s="82" t="s">
        <v>212</v>
      </c>
      <c r="C13" s="81" t="s">
        <v>213</v>
      </c>
      <c r="D13" s="23">
        <v>40</v>
      </c>
      <c r="E13" s="24">
        <f t="shared" si="0"/>
        <v>480</v>
      </c>
      <c r="F13" s="25" t="s">
        <v>195</v>
      </c>
    </row>
    <row r="14" spans="1:7" ht="15" customHeight="1" x14ac:dyDescent="0.25">
      <c r="A14" s="16" t="s">
        <v>211</v>
      </c>
      <c r="B14" s="78" t="s">
        <v>214</v>
      </c>
      <c r="C14" s="77" t="s">
        <v>215</v>
      </c>
      <c r="D14" s="18">
        <v>80</v>
      </c>
      <c r="E14" s="19">
        <f t="shared" si="0"/>
        <v>960</v>
      </c>
      <c r="F14" s="20" t="s">
        <v>195</v>
      </c>
    </row>
    <row r="15" spans="1:7" ht="15" customHeight="1" x14ac:dyDescent="0.25">
      <c r="A15" s="21" t="s">
        <v>211</v>
      </c>
      <c r="B15" s="82" t="s">
        <v>216</v>
      </c>
      <c r="C15" s="81" t="s">
        <v>217</v>
      </c>
      <c r="D15" s="23">
        <v>5</v>
      </c>
      <c r="E15" s="24">
        <f t="shared" si="0"/>
        <v>60</v>
      </c>
      <c r="F15" s="25" t="s">
        <v>195</v>
      </c>
    </row>
    <row r="16" spans="1:7" ht="15" customHeight="1" x14ac:dyDescent="0.25">
      <c r="A16" s="16" t="s">
        <v>218</v>
      </c>
      <c r="B16" s="78" t="s">
        <v>219</v>
      </c>
      <c r="C16" s="77" t="s">
        <v>201</v>
      </c>
      <c r="D16" s="18">
        <v>20</v>
      </c>
      <c r="E16" s="19">
        <f t="shared" si="0"/>
        <v>240</v>
      </c>
      <c r="F16" s="20" t="s">
        <v>195</v>
      </c>
    </row>
    <row r="17" spans="1:6" ht="15" customHeight="1" x14ac:dyDescent="0.25">
      <c r="A17" s="21" t="s">
        <v>218</v>
      </c>
      <c r="B17" s="82" t="s">
        <v>220</v>
      </c>
      <c r="C17" s="81" t="s">
        <v>201</v>
      </c>
      <c r="D17" s="23">
        <v>5</v>
      </c>
      <c r="E17" s="24">
        <f t="shared" si="0"/>
        <v>60</v>
      </c>
      <c r="F17" s="25" t="s">
        <v>195</v>
      </c>
    </row>
    <row r="18" spans="1:6" ht="21.75" customHeight="1" x14ac:dyDescent="0.25">
      <c r="A18" s="96" t="s">
        <v>221</v>
      </c>
      <c r="B18" s="96"/>
      <c r="C18" s="96"/>
      <c r="D18" s="96"/>
      <c r="E18" s="86">
        <f>SUM(E4:E17)</f>
        <v>10548</v>
      </c>
      <c r="F18" s="75"/>
    </row>
  </sheetData>
  <mergeCells count="2">
    <mergeCell ref="A1:G2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showGridLines="0" tabSelected="1" zoomScaleNormal="100" workbookViewId="0">
      <selection activeCell="C6" sqref="C6"/>
    </sheetView>
  </sheetViews>
  <sheetFormatPr baseColWidth="10" defaultColWidth="8.7109375" defaultRowHeight="15" x14ac:dyDescent="0.25"/>
  <cols>
    <col min="1" max="1" width="26" customWidth="1"/>
    <col min="2" max="2" width="36" customWidth="1"/>
    <col min="3" max="5" width="18" customWidth="1"/>
    <col min="6" max="6" width="12" customWidth="1"/>
  </cols>
  <sheetData>
    <row r="1" spans="1:6" ht="31.5" customHeight="1" x14ac:dyDescent="0.25">
      <c r="A1" s="14" t="s">
        <v>222</v>
      </c>
      <c r="B1" s="14"/>
      <c r="C1" s="14"/>
      <c r="D1" s="14"/>
      <c r="E1" s="14"/>
      <c r="F1" s="14"/>
    </row>
    <row r="2" spans="1:6" ht="15" customHeight="1" x14ac:dyDescent="0.25">
      <c r="A2" s="14"/>
      <c r="B2" s="14"/>
      <c r="C2" s="14"/>
      <c r="D2" s="14"/>
      <c r="E2" s="14"/>
      <c r="F2" s="14"/>
    </row>
    <row r="4" spans="1:6" ht="15" customHeight="1" x14ac:dyDescent="0.25">
      <c r="B4" s="87" t="s">
        <v>223</v>
      </c>
      <c r="C4" s="87" t="s">
        <v>224</v>
      </c>
      <c r="D4" s="87" t="s">
        <v>225</v>
      </c>
      <c r="E4" s="87" t="s">
        <v>226</v>
      </c>
    </row>
    <row r="5" spans="1:6" ht="31.5" customHeight="1" x14ac:dyDescent="0.25">
      <c r="B5" s="88">
        <f>Backlog!F46</f>
        <v>234</v>
      </c>
      <c r="C5" s="88">
        <v>7</v>
      </c>
      <c r="D5" s="89">
        <v>14</v>
      </c>
      <c r="E5" s="88">
        <f>SUM(Assumptions!C7:C12)</f>
        <v>9</v>
      </c>
    </row>
    <row r="8" spans="1:6" ht="19.5" customHeight="1" x14ac:dyDescent="0.25">
      <c r="A8" s="97" t="s">
        <v>227</v>
      </c>
      <c r="B8" s="97"/>
      <c r="C8" s="97"/>
      <c r="D8" s="97"/>
      <c r="E8" s="97"/>
      <c r="F8" s="97"/>
    </row>
    <row r="9" spans="1:6" ht="27.75" customHeight="1" x14ac:dyDescent="0.25">
      <c r="A9" s="15" t="s">
        <v>187</v>
      </c>
      <c r="B9" s="15" t="s">
        <v>228</v>
      </c>
      <c r="C9" s="15" t="s">
        <v>229</v>
      </c>
      <c r="D9" s="15" t="s">
        <v>230</v>
      </c>
      <c r="E9" s="15" t="s">
        <v>231</v>
      </c>
      <c r="F9" s="15" t="s">
        <v>232</v>
      </c>
    </row>
    <row r="10" spans="1:6" ht="15" customHeight="1" x14ac:dyDescent="0.25">
      <c r="A10" s="16" t="s">
        <v>233</v>
      </c>
      <c r="B10" s="78" t="s">
        <v>234</v>
      </c>
      <c r="C10" s="19">
        <f>Assumptions!F13*7*0.85</f>
        <v>177310</v>
      </c>
      <c r="D10" s="19">
        <f>Assumptions!F13*7</f>
        <v>208600</v>
      </c>
      <c r="E10" s="19">
        <f>Assumptions!F13*8</f>
        <v>238400</v>
      </c>
      <c r="F10" s="90">
        <f>IF(SUM(D10:D14)=0,0,D10/SUM(D10:D14))</f>
        <v>0.77080546584585363</v>
      </c>
    </row>
    <row r="11" spans="1:6" ht="15" customHeight="1" x14ac:dyDescent="0.25">
      <c r="A11" s="21" t="s">
        <v>235</v>
      </c>
      <c r="B11" s="82" t="s">
        <v>236</v>
      </c>
      <c r="C11" s="24">
        <f>'Tech Costs'!E18*0.8</f>
        <v>8438.4</v>
      </c>
      <c r="D11" s="24">
        <f>'Tech Costs'!E18</f>
        <v>10548</v>
      </c>
      <c r="E11" s="24">
        <f>'Tech Costs'!E18*1.2</f>
        <v>12657.6</v>
      </c>
      <c r="F11" s="91">
        <f>IF(SUM(D10:D14)=0,0,D11/SUM(D10:D14))</f>
        <v>3.8976299394736645E-2</v>
      </c>
    </row>
    <row r="12" spans="1:6" ht="15" customHeight="1" x14ac:dyDescent="0.25">
      <c r="A12" s="16" t="s">
        <v>237</v>
      </c>
      <c r="B12" s="78" t="s">
        <v>238</v>
      </c>
      <c r="C12" s="92">
        <v>3000</v>
      </c>
      <c r="D12" s="92">
        <v>3500</v>
      </c>
      <c r="E12" s="92">
        <v>5000</v>
      </c>
      <c r="F12" s="90">
        <f>IF(SUM(D10:D14)=0,0,D12/SUM(D10:D14))</f>
        <v>1.2932977614863317E-2</v>
      </c>
    </row>
    <row r="13" spans="1:6" ht="15" customHeight="1" x14ac:dyDescent="0.25">
      <c r="A13" s="21" t="s">
        <v>239</v>
      </c>
      <c r="B13" s="82" t="s">
        <v>240</v>
      </c>
      <c r="C13" s="24">
        <f>Assumptions!F13*7*0.85*0.1</f>
        <v>17731</v>
      </c>
      <c r="D13" s="24">
        <f>Assumptions!F13*7*0.15</f>
        <v>31290</v>
      </c>
      <c r="E13" s="24">
        <f>Assumptions!F13*8*0.2</f>
        <v>47680</v>
      </c>
      <c r="F13" s="91">
        <f>IF(SUM(D10:D14)=0,0,D13/SUM(D10:D14))</f>
        <v>0.11562081987687806</v>
      </c>
    </row>
    <row r="14" spans="1:6" ht="15" customHeight="1" x14ac:dyDescent="0.25">
      <c r="A14" s="16" t="s">
        <v>241</v>
      </c>
      <c r="B14" s="78" t="s">
        <v>242</v>
      </c>
      <c r="C14" s="19">
        <f>Assumptions!F13*0.05*7</f>
        <v>10430</v>
      </c>
      <c r="D14" s="19">
        <f>Assumptions!F13*0.08*7</f>
        <v>16688</v>
      </c>
      <c r="E14" s="19">
        <f>Assumptions!F13*0.1*8</f>
        <v>23840</v>
      </c>
      <c r="F14" s="90">
        <f>IF(SUM(D10:D14)=0,0,D14/SUM(D10:D14))</f>
        <v>6.1664437267668293E-2</v>
      </c>
    </row>
    <row r="15" spans="1:6" ht="24" customHeight="1" x14ac:dyDescent="0.25">
      <c r="A15" s="98" t="s">
        <v>243</v>
      </c>
      <c r="B15" s="98"/>
      <c r="C15" s="86">
        <f>SUM(C10:C14)</f>
        <v>216909.4</v>
      </c>
      <c r="D15" s="86">
        <f>SUM(D10:D14)</f>
        <v>270626</v>
      </c>
      <c r="E15" s="86">
        <f>SUM(E10:E14)</f>
        <v>327577.59999999998</v>
      </c>
      <c r="F15" s="93">
        <v>1</v>
      </c>
    </row>
    <row r="17" spans="1:6" ht="13.5" customHeight="1" x14ac:dyDescent="0.25">
      <c r="A17" s="99" t="s">
        <v>244</v>
      </c>
      <c r="B17" s="99"/>
      <c r="C17" s="99"/>
      <c r="D17" s="99"/>
      <c r="E17" s="99"/>
      <c r="F17" s="99"/>
    </row>
    <row r="18" spans="1:6" ht="15" customHeight="1" x14ac:dyDescent="0.25">
      <c r="A18" s="99"/>
      <c r="B18" s="99"/>
      <c r="C18" s="99"/>
      <c r="D18" s="99"/>
      <c r="E18" s="99"/>
      <c r="F18" s="99"/>
    </row>
    <row r="19" spans="1:6" ht="15" customHeight="1" x14ac:dyDescent="0.25">
      <c r="A19" s="99"/>
      <c r="B19" s="99"/>
      <c r="C19" s="99"/>
      <c r="D19" s="99"/>
      <c r="E19" s="99"/>
      <c r="F19" s="99"/>
    </row>
    <row r="20" spans="1:6" ht="15" customHeight="1" x14ac:dyDescent="0.25">
      <c r="A20" s="99"/>
      <c r="B20" s="99"/>
      <c r="C20" s="99"/>
      <c r="D20" s="99"/>
      <c r="E20" s="99"/>
      <c r="F20" s="99"/>
    </row>
    <row r="21" spans="1:6" ht="15" customHeight="1" x14ac:dyDescent="0.25">
      <c r="A21" s="99"/>
      <c r="B21" s="99"/>
      <c r="C21" s="99"/>
      <c r="D21" s="99"/>
      <c r="E21" s="99"/>
      <c r="F21" s="99"/>
    </row>
    <row r="22" spans="1:6" ht="15" customHeight="1" x14ac:dyDescent="0.25">
      <c r="A22" s="99"/>
      <c r="B22" s="99"/>
      <c r="C22" s="99"/>
      <c r="D22" s="99"/>
      <c r="E22" s="99"/>
      <c r="F22" s="99"/>
    </row>
  </sheetData>
  <mergeCells count="4">
    <mergeCell ref="A1:F2"/>
    <mergeCell ref="A8:F8"/>
    <mergeCell ref="A15:B15"/>
    <mergeCell ref="A17:F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Assumptions</vt:lpstr>
      <vt:lpstr>Backlog</vt:lpstr>
      <vt:lpstr>Sprint Plan</vt:lpstr>
      <vt:lpstr>Tech Costs</vt:lpstr>
      <vt:lpstr>Budget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MARIA PAULA RODRIGUEZ MUÑOZ</cp:lastModifiedBy>
  <cp:revision>0</cp:revision>
  <dcterms:created xsi:type="dcterms:W3CDTF">2026-04-28T01:25:51Z</dcterms:created>
  <dcterms:modified xsi:type="dcterms:W3CDTF">2026-04-28T03:15:57Z</dcterms:modified>
  <dc:language>en-US</dc:language>
</cp:coreProperties>
</file>